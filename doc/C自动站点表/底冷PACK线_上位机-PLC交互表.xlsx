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source\钟洋\C标准程序框架\标准程序框架\"/>
    </mc:Choice>
  </mc:AlternateContent>
  <xr:revisionPtr revIDLastSave="0" documentId="13_ncr:2001_{5DCF6429-1500-4F7F-801F-4705F7647C3F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下箱体上线" sheetId="10" r:id="rId1"/>
    <sheet name="下箱体涂胶" sheetId="5" r:id="rId2"/>
    <sheet name="模组入箱(LY_PL57使用)" sheetId="6" r:id="rId3"/>
    <sheet name="肩部涂胶" sheetId="7" r:id="rId4"/>
    <sheet name="压条自动加压和拧紧" sheetId="8" r:id="rId5"/>
    <sheet name="上盖拧紧" sheetId="11" r:id="rId6"/>
    <sheet name="拧紧Array参数" sheetId="13" r:id="rId7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1" i="8" l="1"/>
  <c r="D58" i="8"/>
  <c r="D57" i="8"/>
  <c r="D46" i="11"/>
  <c r="M8" i="11"/>
  <c r="M9" i="11" s="1"/>
  <c r="M12" i="11" s="1"/>
  <c r="M13" i="11" s="1"/>
  <c r="M14" i="11" s="1"/>
  <c r="M18" i="11" s="1"/>
  <c r="M19" i="11" s="1"/>
  <c r="M20" i="11" s="1"/>
  <c r="M24" i="11" s="1"/>
  <c r="M25" i="11" s="1"/>
  <c r="M26" i="11" s="1"/>
  <c r="M27" i="11" s="1"/>
  <c r="M30" i="11" s="1"/>
  <c r="M31" i="11" s="1"/>
  <c r="M32" i="11" s="1"/>
  <c r="M44" i="11" s="1"/>
  <c r="M45" i="11" s="1"/>
  <c r="D8" i="11"/>
  <c r="D9" i="11" s="1"/>
  <c r="D12" i="11" s="1"/>
  <c r="D13" i="11" s="1"/>
  <c r="D14" i="11" s="1"/>
  <c r="D15" i="11" s="1"/>
  <c r="D18" i="11" s="1"/>
  <c r="D19" i="11" s="1"/>
  <c r="D20" i="11" s="1"/>
  <c r="D21" i="11" s="1"/>
  <c r="D24" i="11" s="1"/>
  <c r="D25" i="11" s="1"/>
  <c r="D30" i="11" s="1"/>
  <c r="D31" i="11" s="1"/>
  <c r="D32" i="11" s="1"/>
  <c r="D33" i="11" s="1"/>
  <c r="D34" i="11" s="1"/>
  <c r="D35" i="11" s="1"/>
  <c r="D36" i="11" s="1"/>
  <c r="D37" i="11" s="1"/>
  <c r="D38" i="11" s="1"/>
  <c r="D39" i="11" s="1"/>
  <c r="D40" i="11" s="1"/>
  <c r="D41" i="11" s="1"/>
  <c r="D44" i="11" s="1"/>
  <c r="D45" i="11" s="1"/>
  <c r="M60" i="6"/>
  <c r="M61" i="6" s="1"/>
  <c r="M62" i="6" s="1"/>
  <c r="D60" i="6"/>
  <c r="D61" i="6" s="1"/>
  <c r="M8" i="6"/>
  <c r="M9" i="6" s="1"/>
  <c r="M12" i="6" s="1"/>
  <c r="M13" i="6" s="1"/>
  <c r="M14" i="6" s="1"/>
  <c r="M18" i="6" s="1"/>
  <c r="M19" i="6" s="1"/>
  <c r="M20" i="6" s="1"/>
  <c r="M24" i="6" s="1"/>
  <c r="M25" i="6" s="1"/>
  <c r="M26" i="6" s="1"/>
  <c r="M27" i="6" s="1"/>
  <c r="M30" i="6" s="1"/>
  <c r="M31" i="6" s="1"/>
  <c r="M32" i="6" s="1"/>
  <c r="M44" i="6" s="1"/>
  <c r="M45" i="6" s="1"/>
  <c r="M46" i="6" s="1"/>
  <c r="D8" i="6"/>
  <c r="D9" i="6" s="1"/>
  <c r="D12" i="6" s="1"/>
  <c r="D13" i="6" s="1"/>
  <c r="D14" i="6" s="1"/>
  <c r="D15" i="6" s="1"/>
  <c r="D18" i="6" s="1"/>
  <c r="D19" i="6" s="1"/>
  <c r="D20" i="6" s="1"/>
  <c r="D21" i="6" s="1"/>
  <c r="D24" i="6" s="1"/>
  <c r="D25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4" i="6" s="1"/>
  <c r="D45" i="6" s="1"/>
  <c r="D46" i="6" s="1"/>
  <c r="D47" i="6" s="1"/>
  <c r="D48" i="6" s="1"/>
  <c r="D49" i="6" s="1"/>
  <c r="D50" i="6" s="1"/>
  <c r="D51" i="6" s="1"/>
  <c r="D52" i="6" s="1"/>
  <c r="D53" i="6" s="1"/>
  <c r="D54" i="6" s="1"/>
  <c r="D55" i="6" s="1"/>
  <c r="D56" i="6" s="1"/>
  <c r="D57" i="6" s="1"/>
  <c r="M8" i="8"/>
  <c r="M9" i="8" s="1"/>
  <c r="M12" i="8" s="1"/>
  <c r="M13" i="8" s="1"/>
  <c r="M14" i="8" s="1"/>
  <c r="M18" i="8" s="1"/>
  <c r="M19" i="8" s="1"/>
  <c r="M20" i="8" s="1"/>
  <c r="M24" i="8" s="1"/>
  <c r="M25" i="8" s="1"/>
  <c r="M26" i="8" s="1"/>
  <c r="M27" i="8" s="1"/>
  <c r="M30" i="8" s="1"/>
  <c r="M31" i="8" s="1"/>
  <c r="M32" i="8" s="1"/>
  <c r="M44" i="8" s="1"/>
  <c r="M45" i="8" s="1"/>
  <c r="M46" i="8" s="1"/>
  <c r="M61" i="8" s="1"/>
  <c r="M62" i="8" s="1"/>
  <c r="D8" i="8"/>
  <c r="D9" i="8" s="1"/>
  <c r="D12" i="8" s="1"/>
  <c r="D13" i="8" s="1"/>
  <c r="D14" i="8" s="1"/>
  <c r="D15" i="8" s="1"/>
  <c r="D18" i="8" s="1"/>
  <c r="D19" i="8" s="1"/>
  <c r="D20" i="8" s="1"/>
  <c r="D21" i="8" s="1"/>
  <c r="D24" i="8" s="1"/>
  <c r="D25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M8" i="7"/>
  <c r="M9" i="7" s="1"/>
  <c r="M12" i="7" s="1"/>
  <c r="M13" i="7" s="1"/>
  <c r="M14" i="7" s="1"/>
  <c r="M18" i="7" s="1"/>
  <c r="M19" i="7" s="1"/>
  <c r="M20" i="7" s="1"/>
  <c r="M24" i="7" s="1"/>
  <c r="M25" i="7" s="1"/>
  <c r="M26" i="7" s="1"/>
  <c r="M27" i="7" s="1"/>
  <c r="M30" i="7" s="1"/>
  <c r="M31" i="7" s="1"/>
  <c r="M32" i="7" s="1"/>
  <c r="M44" i="7" s="1"/>
  <c r="M45" i="7" s="1"/>
  <c r="M46" i="7" s="1"/>
  <c r="D8" i="7"/>
  <c r="D9" i="7" s="1"/>
  <c r="D12" i="7" s="1"/>
  <c r="D13" i="7" s="1"/>
  <c r="D14" i="7" s="1"/>
  <c r="D15" i="7" s="1"/>
  <c r="D18" i="7" s="1"/>
  <c r="D19" i="7" s="1"/>
  <c r="D20" i="7" s="1"/>
  <c r="D21" i="7" s="1"/>
  <c r="D24" i="7" s="1"/>
  <c r="D25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9" i="5"/>
  <c r="D12" i="5" s="1"/>
  <c r="D13" i="5" s="1"/>
  <c r="D14" i="5" s="1"/>
  <c r="D15" i="5" s="1"/>
  <c r="D18" i="5" s="1"/>
  <c r="D19" i="5" s="1"/>
  <c r="D20" i="5" s="1"/>
  <c r="D21" i="5" s="1"/>
  <c r="D24" i="5" s="1"/>
  <c r="D25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60" i="5" s="1"/>
  <c r="D61" i="5" s="1"/>
  <c r="M8" i="5"/>
  <c r="M9" i="5" s="1"/>
  <c r="M12" i="5" s="1"/>
  <c r="M13" i="5" s="1"/>
  <c r="M14" i="5" s="1"/>
  <c r="M18" i="5" s="1"/>
  <c r="M19" i="5" s="1"/>
  <c r="M20" i="5" s="1"/>
  <c r="M24" i="5" s="1"/>
  <c r="M25" i="5" s="1"/>
  <c r="M26" i="5" s="1"/>
  <c r="M27" i="5" s="1"/>
  <c r="M30" i="5" s="1"/>
  <c r="M31" i="5" s="1"/>
  <c r="M32" i="5" s="1"/>
  <c r="M44" i="5" s="1"/>
  <c r="M45" i="5" s="1"/>
  <c r="M46" i="5" s="1"/>
  <c r="M60" i="5" s="1"/>
  <c r="M61" i="5" s="1"/>
  <c r="M62" i="5" s="1"/>
  <c r="D8" i="5"/>
  <c r="M8" i="10"/>
  <c r="M9" i="10" s="1"/>
  <c r="M12" i="10" s="1"/>
  <c r="M13" i="10" s="1"/>
  <c r="M14" i="10" s="1"/>
  <c r="M18" i="10" s="1"/>
  <c r="M19" i="10" s="1"/>
  <c r="M20" i="10" s="1"/>
  <c r="M24" i="10" s="1"/>
  <c r="M25" i="10" s="1"/>
  <c r="M26" i="10" s="1"/>
  <c r="M27" i="10" s="1"/>
  <c r="M30" i="10" s="1"/>
  <c r="M31" i="10" s="1"/>
  <c r="M32" i="10" s="1"/>
  <c r="M44" i="10" s="1"/>
  <c r="M45" i="10" s="1"/>
  <c r="M46" i="10" s="1"/>
  <c r="D8" i="10"/>
  <c r="D9" i="10" s="1"/>
  <c r="D12" i="10" s="1"/>
  <c r="D13" i="10" s="1"/>
  <c r="D14" i="10" s="1"/>
  <c r="D15" i="10" s="1"/>
  <c r="D18" i="10" s="1"/>
  <c r="D19" i="10" s="1"/>
  <c r="D20" i="10" s="1"/>
  <c r="D21" i="10" s="1"/>
  <c r="D24" i="10" s="1"/>
  <c r="D25" i="10" s="1"/>
  <c r="D30" i="10" s="1"/>
  <c r="D31" i="10" s="1"/>
  <c r="D32" i="10" s="1"/>
  <c r="D33" i="10" s="1"/>
  <c r="D34" i="10" s="1"/>
  <c r="D35" i="10" s="1"/>
  <c r="D36" i="10" s="1"/>
  <c r="D37" i="10" s="1"/>
  <c r="D38" i="10" s="1"/>
  <c r="D39" i="10" s="1"/>
  <c r="D40" i="10" s="1"/>
  <c r="D41" i="10" s="1"/>
  <c r="D44" i="10" s="1"/>
  <c r="D62" i="8" l="1"/>
  <c r="D45" i="10"/>
  <c r="D46" i="10" s="1"/>
  <c r="D47" i="10" s="1"/>
  <c r="D48" i="10" s="1"/>
  <c r="D49" i="10" s="1"/>
  <c r="D50" i="10" s="1"/>
  <c r="D51" i="10" s="1"/>
  <c r="D52" i="10" s="1"/>
  <c r="D53" i="10" s="1"/>
  <c r="D54" i="10" s="1"/>
  <c r="D55" i="10" s="1"/>
  <c r="D56" i="10" s="1"/>
  <c r="D57" i="10" s="1"/>
</calcChain>
</file>

<file path=xl/sharedStrings.xml><?xml version="1.0" encoding="utf-8"?>
<sst xmlns="http://schemas.openxmlformats.org/spreadsheetml/2006/main" count="1184" uniqueCount="118">
  <si>
    <t>PLC====&gt;上位机</t>
    <phoneticPr fontId="1" type="noConversion"/>
  </si>
  <si>
    <t>上位机====&gt;PLC</t>
    <phoneticPr fontId="1" type="noConversion"/>
  </si>
  <si>
    <t>Bool</t>
  </si>
  <si>
    <t>触发信号：上位机检测上升沿后进行读取</t>
  </si>
  <si>
    <t>String[24]</t>
  </si>
  <si>
    <t>SFC</t>
  </si>
  <si>
    <t>序号</t>
    <phoneticPr fontId="1" type="noConversion"/>
  </si>
  <si>
    <t>变量名</t>
    <phoneticPr fontId="1" type="noConversion"/>
  </si>
  <si>
    <t>数据类型</t>
    <phoneticPr fontId="1" type="noConversion"/>
  </si>
  <si>
    <t>DB</t>
    <phoneticPr fontId="1" type="noConversion"/>
  </si>
  <si>
    <t>起始地址</t>
    <phoneticPr fontId="1" type="noConversion"/>
  </si>
  <si>
    <t>长度</t>
    <phoneticPr fontId="1" type="noConversion"/>
  </si>
  <si>
    <t>位</t>
    <phoneticPr fontId="1" type="noConversion"/>
  </si>
  <si>
    <t>定义</t>
    <phoneticPr fontId="1" type="noConversion"/>
  </si>
  <si>
    <t>FinishSignal</t>
  </si>
  <si>
    <t>完成信号，PLC收到完成信号后进行判断</t>
  </si>
  <si>
    <t>ResCode</t>
  </si>
  <si>
    <t>Int</t>
  </si>
  <si>
    <t>工厂MES返回代码，＞0NG，＝0合格。</t>
  </si>
  <si>
    <t>Real</t>
  </si>
  <si>
    <t>接口</t>
    <phoneticPr fontId="1" type="noConversion"/>
  </si>
  <si>
    <t>通用</t>
    <phoneticPr fontId="1" type="noConversion"/>
  </si>
  <si>
    <t>Heartbeat</t>
    <phoneticPr fontId="1" type="noConversion"/>
  </si>
  <si>
    <t>心跳，上位机每500MS取反写入一次</t>
    <phoneticPr fontId="1" type="noConversion"/>
  </si>
  <si>
    <t>StartSignal</t>
  </si>
  <si>
    <t>JRKSSJ</t>
    <phoneticPr fontId="1" type="noConversion"/>
  </si>
  <si>
    <t>DTL</t>
    <phoneticPr fontId="1" type="noConversion"/>
  </si>
  <si>
    <t>SJSJSJ1</t>
    <phoneticPr fontId="1" type="noConversion"/>
  </si>
  <si>
    <t>SJSJSJ2</t>
  </si>
  <si>
    <t>SJSJSJ3</t>
  </si>
  <si>
    <t>SJSJSJ4</t>
  </si>
  <si>
    <t>SJSJSJ5</t>
  </si>
  <si>
    <t>SJSJSJ6</t>
  </si>
  <si>
    <t>首件数据收集1</t>
    <phoneticPr fontId="1" type="noConversion"/>
  </si>
  <si>
    <t>首件数据收集2</t>
  </si>
  <si>
    <t>首件数据收集3</t>
  </si>
  <si>
    <t>首件数据收集4</t>
  </si>
  <si>
    <t>首件数据收集5</t>
  </si>
  <si>
    <t>首件数据收集6</t>
  </si>
  <si>
    <t>PACK码</t>
    <phoneticPr fontId="1" type="noConversion"/>
  </si>
  <si>
    <t>进站</t>
    <phoneticPr fontId="1" type="noConversion"/>
  </si>
  <si>
    <t>SJSJSJ7</t>
  </si>
  <si>
    <t>SJSJSJ8</t>
  </si>
  <si>
    <t>SJSJSJ9</t>
  </si>
  <si>
    <t>SJSJSJ10</t>
  </si>
  <si>
    <t>首件数据收集7</t>
  </si>
  <si>
    <t>首件数据收集8</t>
  </si>
  <si>
    <t>首件数据收集9</t>
  </si>
  <si>
    <t>首件数据收集10</t>
  </si>
  <si>
    <t>过程参数1</t>
    <phoneticPr fontId="1" type="noConversion"/>
  </si>
  <si>
    <t>过程参数2</t>
  </si>
  <si>
    <t>过程参数3</t>
  </si>
  <si>
    <t>过程参数4</t>
  </si>
  <si>
    <t>过程参数5</t>
  </si>
  <si>
    <t>过程参数6</t>
  </si>
  <si>
    <t>开始时间</t>
    <phoneticPr fontId="1" type="noConversion"/>
  </si>
  <si>
    <t>过程参数7</t>
  </si>
  <si>
    <t>过程参数8</t>
  </si>
  <si>
    <t>过程参数10</t>
  </si>
  <si>
    <t>首件</t>
    <phoneticPr fontId="1" type="noConversion"/>
  </si>
  <si>
    <t>装配</t>
    <phoneticPr fontId="1" type="noConversion"/>
  </si>
  <si>
    <t>模组码</t>
    <phoneticPr fontId="1" type="noConversion"/>
  </si>
  <si>
    <t>过程参数收集</t>
    <phoneticPr fontId="1" type="noConversion"/>
  </si>
  <si>
    <t>GCCS1</t>
    <phoneticPr fontId="1" type="noConversion"/>
  </si>
  <si>
    <t>GCCS2</t>
  </si>
  <si>
    <t>GCCS3</t>
  </si>
  <si>
    <t>GCCS4</t>
  </si>
  <si>
    <t>GCCS5</t>
  </si>
  <si>
    <t>GCCS6</t>
  </si>
  <si>
    <t>GCCS7</t>
  </si>
  <si>
    <t>GCCS8</t>
  </si>
  <si>
    <t>GCCS9</t>
  </si>
  <si>
    <t>GCCS10</t>
  </si>
  <si>
    <t>触发信号：上位机检测上升沿后进行读取</t>
    <phoneticPr fontId="1" type="noConversion"/>
  </si>
  <si>
    <t>完成信号，PLC收到完成信号后进行判断</t>
    <phoneticPr fontId="1" type="noConversion"/>
  </si>
  <si>
    <t>工厂MES返回代码，＞0NG，＝0合格。</t>
    <phoneticPr fontId="1" type="noConversion"/>
  </si>
  <si>
    <t>物料校验</t>
    <phoneticPr fontId="1" type="noConversion"/>
  </si>
  <si>
    <t>ModuleCode</t>
  </si>
  <si>
    <t>Code</t>
    <phoneticPr fontId="1" type="noConversion"/>
  </si>
  <si>
    <t>String[24]</t>
    <phoneticPr fontId="1" type="noConversion"/>
  </si>
  <si>
    <t>PACK码（String[24]实际占位26个字节）</t>
    <phoneticPr fontId="1" type="noConversion"/>
  </si>
  <si>
    <t>物料码（String[24]实际占位26个字节）</t>
    <phoneticPr fontId="1" type="noConversion"/>
  </si>
  <si>
    <t>申请SFC</t>
    <phoneticPr fontId="1" type="noConversion"/>
  </si>
  <si>
    <t>申请的条码String[24]实际占位26个字节）</t>
    <phoneticPr fontId="1" type="noConversion"/>
  </si>
  <si>
    <t>过程参数9</t>
    <phoneticPr fontId="1" type="noConversion"/>
  </si>
  <si>
    <t>预留72个字节</t>
    <phoneticPr fontId="1" type="noConversion"/>
  </si>
  <si>
    <t>预留46个字节</t>
    <phoneticPr fontId="1" type="noConversion"/>
  </si>
  <si>
    <t>预留96个字节</t>
    <phoneticPr fontId="1" type="noConversion"/>
  </si>
  <si>
    <t>预留98个字节</t>
    <phoneticPr fontId="1" type="noConversion"/>
  </si>
  <si>
    <t>预留58个字节</t>
    <phoneticPr fontId="1" type="noConversion"/>
  </si>
  <si>
    <t>预留70个字节</t>
    <phoneticPr fontId="1" type="noConversion"/>
  </si>
  <si>
    <t>预留120个字节</t>
    <phoneticPr fontId="1" type="noConversion"/>
  </si>
  <si>
    <t>Array[0...200] of Real</t>
    <phoneticPr fontId="1" type="noConversion"/>
  </si>
  <si>
    <t>预留196个字节</t>
    <phoneticPr fontId="1" type="noConversion"/>
  </si>
  <si>
    <t>首件数据收集8</t>
    <phoneticPr fontId="1" type="noConversion"/>
  </si>
  <si>
    <t>获取参数</t>
    <phoneticPr fontId="1" type="noConversion"/>
  </si>
  <si>
    <t>TJKSSJ</t>
    <phoneticPr fontId="1" type="noConversion"/>
  </si>
  <si>
    <t>获取涂胶开始时间</t>
    <phoneticPr fontId="1" type="noConversion"/>
  </si>
  <si>
    <t>校验涂胶超时</t>
    <phoneticPr fontId="1" type="noConversion"/>
  </si>
  <si>
    <t>ResultOK</t>
    <phoneticPr fontId="1" type="noConversion"/>
  </si>
  <si>
    <t>OrderNo</t>
    <phoneticPr fontId="1" type="noConversion"/>
  </si>
  <si>
    <t>TorqueResult</t>
    <phoneticPr fontId="1" type="noConversion"/>
  </si>
  <si>
    <t>AngleResult</t>
    <phoneticPr fontId="1" type="noConversion"/>
  </si>
  <si>
    <t>Int</t>
    <phoneticPr fontId="1" type="noConversion"/>
  </si>
  <si>
    <t>Array[0…150]</t>
    <phoneticPr fontId="1" type="noConversion"/>
  </si>
  <si>
    <t>Real</t>
    <phoneticPr fontId="1" type="noConversion"/>
  </si>
  <si>
    <t>拧紧结果数组</t>
    <phoneticPr fontId="1" type="noConversion"/>
  </si>
  <si>
    <t>TJGCCS</t>
    <phoneticPr fontId="1" type="noConversion"/>
  </si>
  <si>
    <t>NJJG</t>
    <phoneticPr fontId="1" type="noConversion"/>
  </si>
  <si>
    <t>Array[0…30]</t>
    <phoneticPr fontId="1" type="noConversion"/>
  </si>
  <si>
    <t>说明</t>
    <phoneticPr fontId="1" type="noConversion"/>
  </si>
  <si>
    <t>拧紧结果</t>
    <phoneticPr fontId="1" type="noConversion"/>
  </si>
  <si>
    <t>螺丝序号</t>
    <phoneticPr fontId="1" type="noConversion"/>
  </si>
  <si>
    <t>扭矩结果</t>
    <phoneticPr fontId="1" type="noConversion"/>
  </si>
  <si>
    <t>角度结果</t>
    <phoneticPr fontId="1" type="noConversion"/>
  </si>
  <si>
    <t>ProgramNo</t>
    <phoneticPr fontId="1" type="noConversion"/>
  </si>
  <si>
    <t>程序号</t>
    <phoneticPr fontId="1" type="noConversion"/>
  </si>
  <si>
    <t>预留100个字节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</si>
</sst>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5" fillId="6" borderId="0" xfId="2" applyAlignment="1"/>
    <xf numFmtId="0" fontId="4" fillId="5" borderId="0" xfId="1" applyAlignment="1"/>
  </cellXfs>
  <cellStyles count="3">
    <cellStyle name="差" xfId="1" builtinId="27"/>
    <cellStyle name="常规" xfId="0" builtinId="0"/>
    <cellStyle name="适中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ECDB3-EF2F-4ECB-9D94-3B1A497F5609}">
  <dimension ref="A1:Q57"/>
  <sheetViews>
    <sheetView topLeftCell="A4" zoomScaleNormal="100" workbookViewId="0">
      <selection activeCell="H27" sqref="H27"/>
    </sheetView>
  </sheetViews>
  <sheetFormatPr defaultRowHeight="14.25" x14ac:dyDescent="0.2"/>
  <cols>
    <col min="1" max="1" width="6.5" bestFit="1" customWidth="1"/>
    <col min="2" max="2" width="14.625" bestFit="1" customWidth="1"/>
    <col min="3" max="3" width="22.25" bestFit="1" customWidth="1"/>
    <col min="4" max="4" width="11.375" bestFit="1" customWidth="1"/>
    <col min="5" max="5" width="4.125" bestFit="1" customWidth="1"/>
    <col min="6" max="6" width="42.125" bestFit="1" customWidth="1"/>
    <col min="7" max="8" width="6.5" bestFit="1" customWidth="1"/>
    <col min="9" max="9" width="34.75" bestFit="1" customWidth="1"/>
    <col min="10" max="10" width="6.5" bestFit="1" customWidth="1"/>
    <col min="11" max="11" width="13.125" bestFit="1" customWidth="1"/>
    <col min="12" max="12" width="19" bestFit="1" customWidth="1"/>
    <col min="13" max="13" width="11.375" bestFit="1" customWidth="1"/>
    <col min="14" max="14" width="4.125" bestFit="1" customWidth="1"/>
    <col min="15" max="15" width="37.125" bestFit="1" customWidth="1"/>
    <col min="16" max="17" width="6.5" bestFit="1" customWidth="1"/>
  </cols>
  <sheetData>
    <row r="1" spans="1:17" ht="18" x14ac:dyDescent="0.2">
      <c r="A1" s="1" t="s">
        <v>6</v>
      </c>
      <c r="B1" s="1" t="s">
        <v>7</v>
      </c>
      <c r="C1" s="1" t="s">
        <v>8</v>
      </c>
      <c r="D1" s="1" t="s">
        <v>10</v>
      </c>
      <c r="E1" s="1" t="s">
        <v>12</v>
      </c>
      <c r="F1" s="1" t="s">
        <v>13</v>
      </c>
      <c r="G1" s="1" t="s">
        <v>11</v>
      </c>
      <c r="H1" s="1" t="s">
        <v>9</v>
      </c>
      <c r="I1" s="2" t="s">
        <v>20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12</v>
      </c>
      <c r="O1" s="3" t="s">
        <v>13</v>
      </c>
      <c r="P1" s="3" t="s">
        <v>11</v>
      </c>
      <c r="Q1" s="3" t="s">
        <v>9</v>
      </c>
    </row>
    <row r="2" spans="1:17" ht="14.25" customHeight="1" x14ac:dyDescent="0.2">
      <c r="A2" s="4" t="s">
        <v>0</v>
      </c>
      <c r="B2" s="5"/>
      <c r="C2" s="5"/>
      <c r="D2" s="5"/>
      <c r="E2" s="5"/>
      <c r="F2" s="5"/>
      <c r="G2" s="5"/>
      <c r="H2" s="6"/>
      <c r="I2" s="10" t="s">
        <v>21</v>
      </c>
      <c r="J2" s="12" t="s">
        <v>1</v>
      </c>
      <c r="K2" s="13"/>
      <c r="L2" s="13"/>
      <c r="M2" s="13"/>
      <c r="N2" s="13"/>
      <c r="O2" s="13"/>
      <c r="P2" s="13"/>
      <c r="Q2" s="14"/>
    </row>
    <row r="3" spans="1:17" ht="14.25" customHeight="1" x14ac:dyDescent="0.2">
      <c r="A3" s="7"/>
      <c r="B3" s="8"/>
      <c r="C3" s="8"/>
      <c r="D3" s="8"/>
      <c r="E3" s="8"/>
      <c r="F3" s="8"/>
      <c r="G3" s="8"/>
      <c r="H3" s="9"/>
      <c r="I3" s="11"/>
      <c r="J3" s="15"/>
      <c r="K3" s="16"/>
      <c r="L3" s="16"/>
      <c r="M3" s="16"/>
      <c r="N3" s="16"/>
      <c r="O3" s="16"/>
      <c r="P3" s="16"/>
      <c r="Q3" s="17"/>
    </row>
    <row r="4" spans="1:17" ht="14.25" customHeight="1" x14ac:dyDescent="0.2">
      <c r="H4">
        <v>200</v>
      </c>
      <c r="I4" s="11"/>
      <c r="K4" t="s">
        <v>22</v>
      </c>
      <c r="L4" t="s">
        <v>2</v>
      </c>
      <c r="M4">
        <v>0</v>
      </c>
      <c r="O4" t="s">
        <v>23</v>
      </c>
      <c r="Q4">
        <v>201</v>
      </c>
    </row>
    <row r="5" spans="1:17" ht="14.25" customHeight="1" x14ac:dyDescent="0.2">
      <c r="A5" s="4" t="s">
        <v>0</v>
      </c>
      <c r="B5" s="5"/>
      <c r="C5" s="5"/>
      <c r="D5" s="5"/>
      <c r="E5" s="5"/>
      <c r="F5" s="5"/>
      <c r="G5" s="5"/>
      <c r="H5" s="6"/>
      <c r="I5" s="10" t="s">
        <v>40</v>
      </c>
      <c r="J5" s="12" t="s">
        <v>1</v>
      </c>
      <c r="K5" s="13"/>
      <c r="L5" s="13"/>
      <c r="M5" s="13"/>
      <c r="N5" s="13"/>
      <c r="O5" s="13"/>
      <c r="P5" s="13"/>
      <c r="Q5" s="14"/>
    </row>
    <row r="6" spans="1:17" ht="14.25" customHeight="1" x14ac:dyDescent="0.2">
      <c r="A6" s="7"/>
      <c r="B6" s="8"/>
      <c r="C6" s="8"/>
      <c r="D6" s="8"/>
      <c r="E6" s="8"/>
      <c r="F6" s="8"/>
      <c r="G6" s="8"/>
      <c r="H6" s="9"/>
      <c r="I6" s="19"/>
      <c r="J6" s="15"/>
      <c r="K6" s="16"/>
      <c r="L6" s="16"/>
      <c r="M6" s="16"/>
      <c r="N6" s="16"/>
      <c r="O6" s="16"/>
      <c r="P6" s="16"/>
      <c r="Q6" s="17"/>
    </row>
    <row r="7" spans="1:17" ht="14.25" customHeight="1" x14ac:dyDescent="0.2">
      <c r="B7" t="s">
        <v>24</v>
      </c>
      <c r="C7" t="s">
        <v>2</v>
      </c>
      <c r="D7">
        <v>100</v>
      </c>
      <c r="F7" t="s">
        <v>73</v>
      </c>
      <c r="I7" s="19"/>
      <c r="K7" t="s">
        <v>14</v>
      </c>
      <c r="L7" t="s">
        <v>2</v>
      </c>
      <c r="M7">
        <v>100</v>
      </c>
      <c r="N7">
        <v>0</v>
      </c>
      <c r="O7" t="s">
        <v>74</v>
      </c>
    </row>
    <row r="8" spans="1:17" ht="14.25" customHeight="1" x14ac:dyDescent="0.2">
      <c r="B8" t="s">
        <v>5</v>
      </c>
      <c r="C8" t="s">
        <v>4</v>
      </c>
      <c r="D8">
        <f>D7+2</f>
        <v>102</v>
      </c>
      <c r="F8" t="s">
        <v>80</v>
      </c>
      <c r="I8" s="19"/>
      <c r="K8" t="s">
        <v>16</v>
      </c>
      <c r="L8" t="s">
        <v>17</v>
      </c>
      <c r="M8">
        <f>M7+2</f>
        <v>102</v>
      </c>
      <c r="O8" t="s">
        <v>75</v>
      </c>
    </row>
    <row r="9" spans="1:17" ht="14.25" customHeight="1" x14ac:dyDescent="0.2">
      <c r="B9" t="s">
        <v>85</v>
      </c>
      <c r="D9">
        <f>D8+26</f>
        <v>128</v>
      </c>
      <c r="I9" s="18"/>
      <c r="K9" t="s">
        <v>87</v>
      </c>
      <c r="M9">
        <f>M8+2</f>
        <v>104</v>
      </c>
    </row>
    <row r="10" spans="1:17" ht="14.25" customHeight="1" x14ac:dyDescent="0.2">
      <c r="A10" s="4" t="s">
        <v>0</v>
      </c>
      <c r="B10" s="5"/>
      <c r="C10" s="5"/>
      <c r="D10" s="5"/>
      <c r="E10" s="5"/>
      <c r="F10" s="5"/>
      <c r="G10" s="5"/>
      <c r="H10" s="6"/>
      <c r="I10" s="10" t="s">
        <v>76</v>
      </c>
      <c r="J10" s="12" t="s">
        <v>1</v>
      </c>
      <c r="K10" s="13"/>
      <c r="L10" s="13"/>
      <c r="M10" s="13"/>
      <c r="N10" s="13"/>
      <c r="O10" s="13"/>
      <c r="P10" s="13"/>
      <c r="Q10" s="14"/>
    </row>
    <row r="11" spans="1:17" ht="14.25" customHeight="1" x14ac:dyDescent="0.2">
      <c r="A11" s="7"/>
      <c r="B11" s="8"/>
      <c r="C11" s="8"/>
      <c r="D11" s="8"/>
      <c r="E11" s="8"/>
      <c r="F11" s="8"/>
      <c r="G11" s="8"/>
      <c r="H11" s="9"/>
      <c r="I11" s="19"/>
      <c r="J11" s="15"/>
      <c r="K11" s="16"/>
      <c r="L11" s="16"/>
      <c r="M11" s="16"/>
      <c r="N11" s="16"/>
      <c r="O11" s="16"/>
      <c r="P11" s="16"/>
      <c r="Q11" s="17"/>
    </row>
    <row r="12" spans="1:17" ht="14.25" customHeight="1" x14ac:dyDescent="0.2">
      <c r="B12" t="s">
        <v>24</v>
      </c>
      <c r="C12" t="s">
        <v>2</v>
      </c>
      <c r="D12">
        <f>D9+72</f>
        <v>200</v>
      </c>
      <c r="F12" t="s">
        <v>3</v>
      </c>
      <c r="I12" s="19"/>
      <c r="K12" t="s">
        <v>14</v>
      </c>
      <c r="L12" t="s">
        <v>2</v>
      </c>
      <c r="M12">
        <f>M9+96</f>
        <v>200</v>
      </c>
      <c r="O12" t="s">
        <v>15</v>
      </c>
    </row>
    <row r="13" spans="1:17" ht="14.25" customHeight="1" x14ac:dyDescent="0.2">
      <c r="B13" t="s">
        <v>5</v>
      </c>
      <c r="C13" t="s">
        <v>4</v>
      </c>
      <c r="D13">
        <f>D12+2</f>
        <v>202</v>
      </c>
      <c r="F13" t="s">
        <v>80</v>
      </c>
      <c r="I13" s="19"/>
      <c r="K13" t="s">
        <v>16</v>
      </c>
      <c r="L13" t="s">
        <v>17</v>
      </c>
      <c r="M13">
        <f>M12+2</f>
        <v>202</v>
      </c>
      <c r="O13" t="s">
        <v>18</v>
      </c>
    </row>
    <row r="14" spans="1:17" ht="14.25" customHeight="1" x14ac:dyDescent="0.2">
      <c r="B14" t="s">
        <v>78</v>
      </c>
      <c r="C14" t="s">
        <v>4</v>
      </c>
      <c r="D14">
        <f>D13+26</f>
        <v>228</v>
      </c>
      <c r="F14" t="s">
        <v>81</v>
      </c>
      <c r="I14" s="19"/>
      <c r="K14" t="s">
        <v>87</v>
      </c>
      <c r="M14">
        <f>M13+2</f>
        <v>204</v>
      </c>
    </row>
    <row r="15" spans="1:17" ht="14.25" customHeight="1" x14ac:dyDescent="0.2">
      <c r="B15" t="s">
        <v>86</v>
      </c>
      <c r="D15">
        <f>D14+26</f>
        <v>254</v>
      </c>
      <c r="I15" s="18"/>
    </row>
    <row r="16" spans="1:17" ht="14.25" customHeight="1" x14ac:dyDescent="0.2">
      <c r="A16" s="4" t="s">
        <v>0</v>
      </c>
      <c r="B16" s="5"/>
      <c r="C16" s="5"/>
      <c r="D16" s="5"/>
      <c r="E16" s="5"/>
      <c r="F16" s="5"/>
      <c r="G16" s="5"/>
      <c r="H16" s="6"/>
      <c r="I16" s="10" t="s">
        <v>60</v>
      </c>
      <c r="J16" s="12" t="s">
        <v>1</v>
      </c>
      <c r="K16" s="13"/>
      <c r="L16" s="13"/>
      <c r="M16" s="13"/>
      <c r="N16" s="13"/>
      <c r="O16" s="13"/>
      <c r="P16" s="13"/>
      <c r="Q16" s="14"/>
    </row>
    <row r="17" spans="1:17" ht="14.25" customHeight="1" x14ac:dyDescent="0.2">
      <c r="A17" s="7"/>
      <c r="B17" s="8"/>
      <c r="C17" s="8"/>
      <c r="D17" s="8"/>
      <c r="E17" s="8"/>
      <c r="F17" s="8"/>
      <c r="G17" s="8"/>
      <c r="H17" s="9"/>
      <c r="I17" s="19"/>
      <c r="J17" s="15"/>
      <c r="K17" s="16"/>
      <c r="L17" s="16"/>
      <c r="M17" s="16"/>
      <c r="N17" s="16"/>
      <c r="O17" s="16"/>
      <c r="P17" s="16"/>
      <c r="Q17" s="17"/>
    </row>
    <row r="18" spans="1:17" ht="14.25" customHeight="1" x14ac:dyDescent="0.2">
      <c r="B18" t="s">
        <v>24</v>
      </c>
      <c r="C18" t="s">
        <v>2</v>
      </c>
      <c r="D18">
        <f>D15+46</f>
        <v>300</v>
      </c>
      <c r="F18" t="s">
        <v>3</v>
      </c>
      <c r="I18" s="19"/>
      <c r="K18" t="s">
        <v>14</v>
      </c>
      <c r="L18" t="s">
        <v>2</v>
      </c>
      <c r="M18">
        <f>M14+96</f>
        <v>300</v>
      </c>
      <c r="O18" t="s">
        <v>15</v>
      </c>
    </row>
    <row r="19" spans="1:17" ht="14.25" customHeight="1" x14ac:dyDescent="0.2">
      <c r="B19" t="s">
        <v>5</v>
      </c>
      <c r="C19" t="s">
        <v>4</v>
      </c>
      <c r="D19">
        <f>D18+2</f>
        <v>302</v>
      </c>
      <c r="F19" t="s">
        <v>39</v>
      </c>
      <c r="I19" s="19"/>
      <c r="K19" t="s">
        <v>16</v>
      </c>
      <c r="L19" t="s">
        <v>17</v>
      </c>
      <c r="M19">
        <f>M18+2</f>
        <v>302</v>
      </c>
      <c r="O19" t="s">
        <v>18</v>
      </c>
    </row>
    <row r="20" spans="1:17" ht="14.25" customHeight="1" x14ac:dyDescent="0.2">
      <c r="B20" t="s">
        <v>77</v>
      </c>
      <c r="C20" t="s">
        <v>4</v>
      </c>
      <c r="D20">
        <f>D19+26</f>
        <v>328</v>
      </c>
      <c r="F20" t="s">
        <v>61</v>
      </c>
      <c r="I20" s="19"/>
      <c r="K20" t="s">
        <v>87</v>
      </c>
      <c r="M20">
        <f>M19+2</f>
        <v>304</v>
      </c>
    </row>
    <row r="21" spans="1:17" ht="14.25" customHeight="1" x14ac:dyDescent="0.2">
      <c r="B21" t="s">
        <v>86</v>
      </c>
      <c r="D21">
        <f>D20+26</f>
        <v>354</v>
      </c>
      <c r="I21" s="18"/>
    </row>
    <row r="22" spans="1:17" ht="14.25" customHeight="1" x14ac:dyDescent="0.2">
      <c r="A22" s="4" t="s">
        <v>0</v>
      </c>
      <c r="B22" s="5"/>
      <c r="C22" s="5"/>
      <c r="D22" s="5"/>
      <c r="E22" s="5"/>
      <c r="F22" s="5"/>
      <c r="G22" s="5"/>
      <c r="H22" s="6"/>
      <c r="I22" s="10" t="s">
        <v>82</v>
      </c>
      <c r="J22" s="12" t="s">
        <v>1</v>
      </c>
      <c r="K22" s="13"/>
      <c r="L22" s="13"/>
      <c r="M22" s="13"/>
      <c r="N22" s="13"/>
      <c r="O22" s="13"/>
      <c r="P22" s="13"/>
      <c r="Q22" s="14"/>
    </row>
    <row r="23" spans="1:17" ht="14.25" customHeight="1" x14ac:dyDescent="0.2">
      <c r="A23" s="7"/>
      <c r="B23" s="8"/>
      <c r="C23" s="8"/>
      <c r="D23" s="8"/>
      <c r="E23" s="8"/>
      <c r="F23" s="8"/>
      <c r="G23" s="8"/>
      <c r="H23" s="9"/>
      <c r="I23" s="19"/>
      <c r="J23" s="15"/>
      <c r="K23" s="16"/>
      <c r="L23" s="16"/>
      <c r="M23" s="16"/>
      <c r="N23" s="16"/>
      <c r="O23" s="16"/>
      <c r="P23" s="16"/>
      <c r="Q23" s="17"/>
    </row>
    <row r="24" spans="1:17" ht="14.25" customHeight="1" x14ac:dyDescent="0.2">
      <c r="B24" t="s">
        <v>24</v>
      </c>
      <c r="C24" t="s">
        <v>2</v>
      </c>
      <c r="D24">
        <f>D21+46</f>
        <v>400</v>
      </c>
      <c r="F24" t="s">
        <v>3</v>
      </c>
      <c r="I24" s="19"/>
      <c r="K24" t="s">
        <v>14</v>
      </c>
      <c r="L24" t="s">
        <v>2</v>
      </c>
      <c r="M24">
        <f>M20+96</f>
        <v>400</v>
      </c>
      <c r="O24" t="s">
        <v>15</v>
      </c>
    </row>
    <row r="25" spans="1:17" ht="14.25" customHeight="1" x14ac:dyDescent="0.2">
      <c r="B25" t="s">
        <v>88</v>
      </c>
      <c r="D25">
        <f>D24+2</f>
        <v>402</v>
      </c>
      <c r="I25" s="19"/>
      <c r="K25" t="s">
        <v>16</v>
      </c>
      <c r="L25" t="s">
        <v>17</v>
      </c>
      <c r="M25">
        <f>M24+2</f>
        <v>402</v>
      </c>
      <c r="O25" t="s">
        <v>18</v>
      </c>
    </row>
    <row r="26" spans="1:17" ht="14.25" customHeight="1" x14ac:dyDescent="0.2">
      <c r="I26" s="19"/>
      <c r="K26" t="s">
        <v>78</v>
      </c>
      <c r="L26" t="s">
        <v>4</v>
      </c>
      <c r="M26">
        <f>M25+2</f>
        <v>404</v>
      </c>
      <c r="O26" t="s">
        <v>83</v>
      </c>
    </row>
    <row r="27" spans="1:17" ht="14.25" customHeight="1" x14ac:dyDescent="0.2">
      <c r="I27" s="18"/>
      <c r="K27" t="s">
        <v>90</v>
      </c>
      <c r="M27">
        <f>M26+26</f>
        <v>430</v>
      </c>
    </row>
    <row r="28" spans="1:17" ht="14.25" customHeight="1" x14ac:dyDescent="0.2">
      <c r="A28" s="4" t="s">
        <v>0</v>
      </c>
      <c r="B28" s="5"/>
      <c r="C28" s="5"/>
      <c r="D28" s="5"/>
      <c r="E28" s="5"/>
      <c r="F28" s="5"/>
      <c r="G28" s="5"/>
      <c r="H28" s="6"/>
      <c r="I28" s="10" t="s">
        <v>59</v>
      </c>
      <c r="J28" s="12" t="s">
        <v>1</v>
      </c>
      <c r="K28" s="13"/>
      <c r="L28" s="13"/>
      <c r="M28" s="13"/>
      <c r="N28" s="13"/>
      <c r="O28" s="13"/>
      <c r="P28" s="13"/>
      <c r="Q28" s="14"/>
    </row>
    <row r="29" spans="1:17" ht="14.25" customHeight="1" x14ac:dyDescent="0.2">
      <c r="A29" s="7"/>
      <c r="B29" s="8"/>
      <c r="C29" s="8"/>
      <c r="D29" s="8"/>
      <c r="E29" s="8"/>
      <c r="F29" s="8"/>
      <c r="G29" s="8"/>
      <c r="H29" s="9"/>
      <c r="I29" s="19"/>
      <c r="J29" s="15"/>
      <c r="K29" s="16"/>
      <c r="L29" s="16"/>
      <c r="M29" s="16"/>
      <c r="N29" s="16"/>
      <c r="O29" s="16"/>
      <c r="P29" s="16"/>
      <c r="Q29" s="17"/>
    </row>
    <row r="30" spans="1:17" ht="14.25" customHeight="1" x14ac:dyDescent="0.2">
      <c r="B30" t="s">
        <v>24</v>
      </c>
      <c r="C30" t="s">
        <v>2</v>
      </c>
      <c r="D30">
        <f>D25+98</f>
        <v>500</v>
      </c>
      <c r="F30" t="s">
        <v>3</v>
      </c>
      <c r="I30" s="19"/>
      <c r="K30" t="s">
        <v>14</v>
      </c>
      <c r="L30" t="s">
        <v>2</v>
      </c>
      <c r="M30">
        <f>M27+70</f>
        <v>500</v>
      </c>
      <c r="O30" t="s">
        <v>15</v>
      </c>
    </row>
    <row r="31" spans="1:17" ht="14.25" customHeight="1" x14ac:dyDescent="0.2">
      <c r="B31" t="s">
        <v>27</v>
      </c>
      <c r="C31" t="s">
        <v>19</v>
      </c>
      <c r="D31">
        <f>D30+2</f>
        <v>502</v>
      </c>
      <c r="F31" t="s">
        <v>33</v>
      </c>
      <c r="I31" s="19"/>
      <c r="K31" t="s">
        <v>16</v>
      </c>
      <c r="L31" t="s">
        <v>17</v>
      </c>
      <c r="M31">
        <f>M30+2</f>
        <v>502</v>
      </c>
      <c r="O31" t="s">
        <v>18</v>
      </c>
    </row>
    <row r="32" spans="1:17" ht="14.25" customHeight="1" x14ac:dyDescent="0.2">
      <c r="B32" t="s">
        <v>28</v>
      </c>
      <c r="C32" t="s">
        <v>19</v>
      </c>
      <c r="D32">
        <f>D31+4</f>
        <v>506</v>
      </c>
      <c r="F32" t="s">
        <v>34</v>
      </c>
      <c r="I32" s="19"/>
      <c r="K32" t="s">
        <v>87</v>
      </c>
      <c r="M32">
        <f>M31+2</f>
        <v>504</v>
      </c>
    </row>
    <row r="33" spans="1:17" ht="14.25" customHeight="1" x14ac:dyDescent="0.2">
      <c r="B33" t="s">
        <v>29</v>
      </c>
      <c r="C33" t="s">
        <v>19</v>
      </c>
      <c r="D33">
        <f t="shared" ref="D33:D40" si="0">D32+4</f>
        <v>510</v>
      </c>
      <c r="F33" t="s">
        <v>35</v>
      </c>
      <c r="I33" s="19"/>
    </row>
    <row r="34" spans="1:17" ht="14.25" customHeight="1" x14ac:dyDescent="0.2">
      <c r="B34" t="s">
        <v>30</v>
      </c>
      <c r="C34" t="s">
        <v>19</v>
      </c>
      <c r="D34">
        <f t="shared" si="0"/>
        <v>514</v>
      </c>
      <c r="F34" t="s">
        <v>36</v>
      </c>
      <c r="I34" s="19"/>
    </row>
    <row r="35" spans="1:17" ht="14.25" customHeight="1" x14ac:dyDescent="0.2">
      <c r="B35" t="s">
        <v>31</v>
      </c>
      <c r="C35" t="s">
        <v>19</v>
      </c>
      <c r="D35">
        <f t="shared" si="0"/>
        <v>518</v>
      </c>
      <c r="F35" t="s">
        <v>37</v>
      </c>
      <c r="I35" s="19"/>
    </row>
    <row r="36" spans="1:17" ht="14.25" customHeight="1" x14ac:dyDescent="0.2">
      <c r="B36" t="s">
        <v>32</v>
      </c>
      <c r="C36" t="s">
        <v>19</v>
      </c>
      <c r="D36">
        <f t="shared" si="0"/>
        <v>522</v>
      </c>
      <c r="F36" t="s">
        <v>38</v>
      </c>
      <c r="I36" s="19"/>
    </row>
    <row r="37" spans="1:17" ht="14.25" customHeight="1" x14ac:dyDescent="0.2">
      <c r="B37" t="s">
        <v>41</v>
      </c>
      <c r="C37" t="s">
        <v>19</v>
      </c>
      <c r="D37">
        <f t="shared" si="0"/>
        <v>526</v>
      </c>
      <c r="F37" t="s">
        <v>45</v>
      </c>
      <c r="I37" s="19"/>
    </row>
    <row r="38" spans="1:17" ht="14.25" customHeight="1" x14ac:dyDescent="0.2">
      <c r="B38" t="s">
        <v>42</v>
      </c>
      <c r="C38" t="s">
        <v>19</v>
      </c>
      <c r="D38">
        <f t="shared" si="0"/>
        <v>530</v>
      </c>
      <c r="F38" t="s">
        <v>94</v>
      </c>
      <c r="I38" s="19"/>
    </row>
    <row r="39" spans="1:17" ht="14.25" customHeight="1" x14ac:dyDescent="0.2">
      <c r="B39" t="s">
        <v>43</v>
      </c>
      <c r="C39" t="s">
        <v>19</v>
      </c>
      <c r="D39">
        <f t="shared" si="0"/>
        <v>534</v>
      </c>
      <c r="F39" t="s">
        <v>47</v>
      </c>
      <c r="I39" s="19"/>
    </row>
    <row r="40" spans="1:17" ht="14.25" customHeight="1" x14ac:dyDescent="0.2">
      <c r="B40" t="s">
        <v>44</v>
      </c>
      <c r="C40" t="s">
        <v>19</v>
      </c>
      <c r="D40">
        <f t="shared" si="0"/>
        <v>538</v>
      </c>
      <c r="F40" t="s">
        <v>48</v>
      </c>
      <c r="I40" s="19"/>
    </row>
    <row r="41" spans="1:17" ht="14.25" customHeight="1" x14ac:dyDescent="0.2">
      <c r="B41" t="s">
        <v>89</v>
      </c>
      <c r="D41">
        <f>D40+4</f>
        <v>542</v>
      </c>
      <c r="I41" s="18"/>
    </row>
    <row r="42" spans="1:17" ht="14.25" customHeight="1" x14ac:dyDescent="0.2">
      <c r="A42" s="4" t="s">
        <v>0</v>
      </c>
      <c r="B42" s="5"/>
      <c r="C42" s="5"/>
      <c r="D42" s="5"/>
      <c r="E42" s="5"/>
      <c r="F42" s="5"/>
      <c r="G42" s="5"/>
      <c r="H42" s="6"/>
      <c r="I42" s="10" t="s">
        <v>62</v>
      </c>
      <c r="J42" s="12" t="s">
        <v>1</v>
      </c>
      <c r="K42" s="13"/>
      <c r="L42" s="13"/>
      <c r="M42" s="13"/>
      <c r="N42" s="13"/>
      <c r="O42" s="13"/>
      <c r="P42" s="13"/>
      <c r="Q42" s="14"/>
    </row>
    <row r="43" spans="1:17" ht="14.25" customHeight="1" x14ac:dyDescent="0.2">
      <c r="A43" s="7"/>
      <c r="B43" s="8"/>
      <c r="C43" s="8"/>
      <c r="D43" s="8"/>
      <c r="E43" s="8"/>
      <c r="F43" s="8"/>
      <c r="G43" s="8"/>
      <c r="H43" s="9"/>
      <c r="I43" s="19"/>
      <c r="J43" s="15"/>
      <c r="K43" s="16"/>
      <c r="L43" s="16"/>
      <c r="M43" s="16"/>
      <c r="N43" s="16"/>
      <c r="O43" s="16"/>
      <c r="P43" s="16"/>
      <c r="Q43" s="17"/>
    </row>
    <row r="44" spans="1:17" ht="14.25" customHeight="1" x14ac:dyDescent="0.2">
      <c r="B44" t="s">
        <v>24</v>
      </c>
      <c r="C44" t="s">
        <v>2</v>
      </c>
      <c r="D44">
        <f>D41+58</f>
        <v>600</v>
      </c>
      <c r="F44" t="s">
        <v>3</v>
      </c>
      <c r="I44" s="19"/>
      <c r="K44" t="s">
        <v>14</v>
      </c>
      <c r="L44" t="s">
        <v>2</v>
      </c>
      <c r="M44">
        <f>M32+96</f>
        <v>600</v>
      </c>
      <c r="O44" t="s">
        <v>15</v>
      </c>
    </row>
    <row r="45" spans="1:17" ht="14.25" customHeight="1" x14ac:dyDescent="0.2">
      <c r="B45" t="s">
        <v>5</v>
      </c>
      <c r="C45" t="s">
        <v>79</v>
      </c>
      <c r="D45">
        <f>D44+2</f>
        <v>602</v>
      </c>
      <c r="F45" t="s">
        <v>80</v>
      </c>
      <c r="I45" s="19"/>
      <c r="K45" t="s">
        <v>16</v>
      </c>
      <c r="L45" t="s">
        <v>17</v>
      </c>
      <c r="M45">
        <f>M44+2</f>
        <v>602</v>
      </c>
      <c r="O45" t="s">
        <v>18</v>
      </c>
    </row>
    <row r="46" spans="1:17" ht="14.25" customHeight="1" x14ac:dyDescent="0.2">
      <c r="B46" t="s">
        <v>25</v>
      </c>
      <c r="C46" t="s">
        <v>26</v>
      </c>
      <c r="D46">
        <f>D45+26</f>
        <v>628</v>
      </c>
      <c r="F46" t="s">
        <v>55</v>
      </c>
      <c r="I46" s="19"/>
      <c r="K46" t="s">
        <v>93</v>
      </c>
      <c r="M46">
        <f>M45+2</f>
        <v>604</v>
      </c>
    </row>
    <row r="47" spans="1:17" ht="14.25" customHeight="1" x14ac:dyDescent="0.2">
      <c r="B47" t="s">
        <v>63</v>
      </c>
      <c r="C47" t="s">
        <v>19</v>
      </c>
      <c r="D47">
        <f>D46+12</f>
        <v>640</v>
      </c>
      <c r="F47" t="s">
        <v>49</v>
      </c>
      <c r="I47" s="19"/>
    </row>
    <row r="48" spans="1:17" ht="14.25" customHeight="1" x14ac:dyDescent="0.2">
      <c r="B48" t="s">
        <v>64</v>
      </c>
      <c r="C48" t="s">
        <v>19</v>
      </c>
      <c r="D48">
        <f>D47+4</f>
        <v>644</v>
      </c>
      <c r="F48" t="s">
        <v>50</v>
      </c>
      <c r="I48" s="19"/>
    </row>
    <row r="49" spans="2:9" ht="14.25" customHeight="1" x14ac:dyDescent="0.2">
      <c r="B49" t="s">
        <v>65</v>
      </c>
      <c r="C49" t="s">
        <v>19</v>
      </c>
      <c r="D49">
        <f t="shared" ref="D49:D56" si="1">D48+4</f>
        <v>648</v>
      </c>
      <c r="F49" t="s">
        <v>51</v>
      </c>
      <c r="I49" s="19"/>
    </row>
    <row r="50" spans="2:9" ht="14.25" customHeight="1" x14ac:dyDescent="0.2">
      <c r="B50" t="s">
        <v>66</v>
      </c>
      <c r="C50" t="s">
        <v>19</v>
      </c>
      <c r="D50">
        <f t="shared" si="1"/>
        <v>652</v>
      </c>
      <c r="F50" t="s">
        <v>52</v>
      </c>
      <c r="I50" s="19"/>
    </row>
    <row r="51" spans="2:9" ht="14.25" customHeight="1" x14ac:dyDescent="0.2">
      <c r="B51" t="s">
        <v>67</v>
      </c>
      <c r="C51" t="s">
        <v>19</v>
      </c>
      <c r="D51">
        <f t="shared" si="1"/>
        <v>656</v>
      </c>
      <c r="F51" t="s">
        <v>53</v>
      </c>
      <c r="I51" s="19"/>
    </row>
    <row r="52" spans="2:9" ht="14.25" customHeight="1" x14ac:dyDescent="0.2">
      <c r="B52" t="s">
        <v>68</v>
      </c>
      <c r="C52" t="s">
        <v>19</v>
      </c>
      <c r="D52">
        <f t="shared" si="1"/>
        <v>660</v>
      </c>
      <c r="F52" t="s">
        <v>54</v>
      </c>
      <c r="I52" s="19"/>
    </row>
    <row r="53" spans="2:9" ht="14.25" customHeight="1" x14ac:dyDescent="0.2">
      <c r="B53" t="s">
        <v>69</v>
      </c>
      <c r="C53" t="s">
        <v>19</v>
      </c>
      <c r="D53">
        <f t="shared" si="1"/>
        <v>664</v>
      </c>
      <c r="F53" t="s">
        <v>56</v>
      </c>
      <c r="I53" s="19"/>
    </row>
    <row r="54" spans="2:9" ht="14.25" customHeight="1" x14ac:dyDescent="0.2">
      <c r="B54" t="s">
        <v>70</v>
      </c>
      <c r="C54" t="s">
        <v>19</v>
      </c>
      <c r="D54">
        <f t="shared" si="1"/>
        <v>668</v>
      </c>
      <c r="F54" t="s">
        <v>57</v>
      </c>
      <c r="I54" s="19"/>
    </row>
    <row r="55" spans="2:9" ht="14.25" customHeight="1" x14ac:dyDescent="0.2">
      <c r="B55" t="s">
        <v>71</v>
      </c>
      <c r="C55" t="s">
        <v>19</v>
      </c>
      <c r="D55">
        <f t="shared" si="1"/>
        <v>672</v>
      </c>
      <c r="F55" t="s">
        <v>84</v>
      </c>
      <c r="I55" s="19"/>
    </row>
    <row r="56" spans="2:9" ht="14.25" customHeight="1" x14ac:dyDescent="0.2">
      <c r="B56" t="s">
        <v>72</v>
      </c>
      <c r="C56" t="s">
        <v>19</v>
      </c>
      <c r="D56">
        <f t="shared" si="1"/>
        <v>676</v>
      </c>
      <c r="F56" t="s">
        <v>58</v>
      </c>
      <c r="I56" s="19"/>
    </row>
    <row r="57" spans="2:9" x14ac:dyDescent="0.2">
      <c r="B57" t="s">
        <v>91</v>
      </c>
      <c r="D57">
        <f>D56+4</f>
        <v>680</v>
      </c>
      <c r="I57" s="18"/>
    </row>
  </sheetData>
  <mergeCells count="21">
    <mergeCell ref="I5:I9"/>
    <mergeCell ref="I42:I57"/>
    <mergeCell ref="I28:I41"/>
    <mergeCell ref="I16:I21"/>
    <mergeCell ref="I22:I27"/>
    <mergeCell ref="I10:I15"/>
    <mergeCell ref="A2:H3"/>
    <mergeCell ref="I2:I4"/>
    <mergeCell ref="J2:Q3"/>
    <mergeCell ref="A5:H6"/>
    <mergeCell ref="J5:Q6"/>
    <mergeCell ref="A16:H17"/>
    <mergeCell ref="J16:Q17"/>
    <mergeCell ref="A10:H11"/>
    <mergeCell ref="J10:Q11"/>
    <mergeCell ref="A42:H43"/>
    <mergeCell ref="J42:Q43"/>
    <mergeCell ref="A22:H23"/>
    <mergeCell ref="J22:Q23"/>
    <mergeCell ref="A28:H29"/>
    <mergeCell ref="J28:Q2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3B1B3-09A3-4148-9FE0-DB1FE07979E4}">
  <dimension ref="A1:Q72"/>
  <sheetViews>
    <sheetView topLeftCell="A31" zoomScaleNormal="100" workbookViewId="0">
      <selection activeCell="K63" sqref="K63"/>
    </sheetView>
  </sheetViews>
  <sheetFormatPr defaultRowHeight="14.25" x14ac:dyDescent="0.2"/>
  <cols>
    <col min="1" max="1" width="6.5" bestFit="1" customWidth="1"/>
    <col min="2" max="2" width="14.625" bestFit="1" customWidth="1"/>
    <col min="3" max="3" width="22.25" bestFit="1" customWidth="1"/>
    <col min="4" max="4" width="11.375" bestFit="1" customWidth="1"/>
    <col min="5" max="5" width="4.125" bestFit="1" customWidth="1"/>
    <col min="6" max="6" width="42.125" bestFit="1" customWidth="1"/>
    <col min="7" max="8" width="6.5" bestFit="1" customWidth="1"/>
    <col min="9" max="9" width="34.75" bestFit="1" customWidth="1"/>
    <col min="10" max="10" width="6.5" bestFit="1" customWidth="1"/>
    <col min="11" max="11" width="13.125" bestFit="1" customWidth="1"/>
    <col min="12" max="12" width="19" bestFit="1" customWidth="1"/>
    <col min="13" max="13" width="11.375" bestFit="1" customWidth="1"/>
    <col min="14" max="14" width="4.125" bestFit="1" customWidth="1"/>
    <col min="15" max="15" width="37.125" bestFit="1" customWidth="1"/>
    <col min="16" max="17" width="6.5" bestFit="1" customWidth="1"/>
  </cols>
  <sheetData>
    <row r="1" spans="1:17" ht="18" x14ac:dyDescent="0.2">
      <c r="A1" s="1" t="s">
        <v>6</v>
      </c>
      <c r="B1" s="1" t="s">
        <v>7</v>
      </c>
      <c r="C1" s="1" t="s">
        <v>8</v>
      </c>
      <c r="D1" s="1" t="s">
        <v>10</v>
      </c>
      <c r="E1" s="1" t="s">
        <v>12</v>
      </c>
      <c r="F1" s="1" t="s">
        <v>13</v>
      </c>
      <c r="G1" s="1" t="s">
        <v>11</v>
      </c>
      <c r="H1" s="1" t="s">
        <v>9</v>
      </c>
      <c r="I1" s="2" t="s">
        <v>20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12</v>
      </c>
      <c r="O1" s="3" t="s">
        <v>13</v>
      </c>
      <c r="P1" s="3" t="s">
        <v>11</v>
      </c>
      <c r="Q1" s="3" t="s">
        <v>9</v>
      </c>
    </row>
    <row r="2" spans="1:17" ht="14.25" customHeight="1" x14ac:dyDescent="0.2">
      <c r="A2" s="4" t="s">
        <v>0</v>
      </c>
      <c r="B2" s="5"/>
      <c r="C2" s="5"/>
      <c r="D2" s="5"/>
      <c r="E2" s="5"/>
      <c r="F2" s="5"/>
      <c r="G2" s="5"/>
      <c r="H2" s="6"/>
      <c r="I2" s="10" t="s">
        <v>21</v>
      </c>
      <c r="J2" s="12" t="s">
        <v>1</v>
      </c>
      <c r="K2" s="13"/>
      <c r="L2" s="13"/>
      <c r="M2" s="13"/>
      <c r="N2" s="13"/>
      <c r="O2" s="13"/>
      <c r="P2" s="13"/>
      <c r="Q2" s="14"/>
    </row>
    <row r="3" spans="1:17" ht="14.25" customHeight="1" x14ac:dyDescent="0.2">
      <c r="A3" s="7"/>
      <c r="B3" s="8"/>
      <c r="C3" s="8"/>
      <c r="D3" s="8"/>
      <c r="E3" s="8"/>
      <c r="F3" s="8"/>
      <c r="G3" s="8"/>
      <c r="H3" s="9"/>
      <c r="I3" s="11"/>
      <c r="J3" s="15"/>
      <c r="K3" s="16"/>
      <c r="L3" s="16"/>
      <c r="M3" s="16"/>
      <c r="N3" s="16"/>
      <c r="O3" s="16"/>
      <c r="P3" s="16"/>
      <c r="Q3" s="17"/>
    </row>
    <row r="4" spans="1:17" ht="14.25" customHeight="1" x14ac:dyDescent="0.2">
      <c r="H4">
        <v>200</v>
      </c>
      <c r="I4" s="11"/>
      <c r="K4" t="s">
        <v>22</v>
      </c>
      <c r="L4" t="s">
        <v>2</v>
      </c>
      <c r="M4">
        <v>0</v>
      </c>
      <c r="O4" t="s">
        <v>23</v>
      </c>
      <c r="Q4">
        <v>201</v>
      </c>
    </row>
    <row r="5" spans="1:17" ht="14.25" customHeight="1" x14ac:dyDescent="0.2">
      <c r="A5" s="4" t="s">
        <v>0</v>
      </c>
      <c r="B5" s="5"/>
      <c r="C5" s="5"/>
      <c r="D5" s="5"/>
      <c r="E5" s="5"/>
      <c r="F5" s="5"/>
      <c r="G5" s="5"/>
      <c r="H5" s="6"/>
      <c r="I5" s="10" t="s">
        <v>40</v>
      </c>
      <c r="J5" s="12" t="s">
        <v>1</v>
      </c>
      <c r="K5" s="13"/>
      <c r="L5" s="13"/>
      <c r="M5" s="13"/>
      <c r="N5" s="13"/>
      <c r="O5" s="13"/>
      <c r="P5" s="13"/>
      <c r="Q5" s="14"/>
    </row>
    <row r="6" spans="1:17" ht="14.25" customHeight="1" x14ac:dyDescent="0.2">
      <c r="A6" s="7"/>
      <c r="B6" s="8"/>
      <c r="C6" s="8"/>
      <c r="D6" s="8"/>
      <c r="E6" s="8"/>
      <c r="F6" s="8"/>
      <c r="G6" s="8"/>
      <c r="H6" s="9"/>
      <c r="I6" s="19"/>
      <c r="J6" s="15"/>
      <c r="K6" s="16"/>
      <c r="L6" s="16"/>
      <c r="M6" s="16"/>
      <c r="N6" s="16"/>
      <c r="O6" s="16"/>
      <c r="P6" s="16"/>
      <c r="Q6" s="17"/>
    </row>
    <row r="7" spans="1:17" ht="14.25" customHeight="1" x14ac:dyDescent="0.2">
      <c r="B7" t="s">
        <v>24</v>
      </c>
      <c r="C7" t="s">
        <v>2</v>
      </c>
      <c r="D7">
        <v>100</v>
      </c>
      <c r="F7" t="s">
        <v>73</v>
      </c>
      <c r="I7" s="19"/>
      <c r="K7" t="s">
        <v>14</v>
      </c>
      <c r="L7" t="s">
        <v>2</v>
      </c>
      <c r="M7">
        <v>100</v>
      </c>
      <c r="N7">
        <v>0</v>
      </c>
      <c r="O7" t="s">
        <v>74</v>
      </c>
    </row>
    <row r="8" spans="1:17" ht="14.25" customHeight="1" x14ac:dyDescent="0.2">
      <c r="B8" t="s">
        <v>5</v>
      </c>
      <c r="C8" t="s">
        <v>4</v>
      </c>
      <c r="D8">
        <f>D7+2</f>
        <v>102</v>
      </c>
      <c r="F8" t="s">
        <v>80</v>
      </c>
      <c r="I8" s="19"/>
      <c r="K8" t="s">
        <v>16</v>
      </c>
      <c r="L8" t="s">
        <v>17</v>
      </c>
      <c r="M8">
        <f>M7+2</f>
        <v>102</v>
      </c>
      <c r="O8" t="s">
        <v>75</v>
      </c>
    </row>
    <row r="9" spans="1:17" ht="14.25" customHeight="1" x14ac:dyDescent="0.2">
      <c r="B9" t="s">
        <v>85</v>
      </c>
      <c r="D9">
        <f>D8+26</f>
        <v>128</v>
      </c>
      <c r="I9" s="18"/>
      <c r="K9" t="s">
        <v>87</v>
      </c>
      <c r="M9">
        <f>M8+2</f>
        <v>104</v>
      </c>
    </row>
    <row r="10" spans="1:17" ht="14.25" customHeight="1" x14ac:dyDescent="0.2">
      <c r="A10" s="4" t="s">
        <v>0</v>
      </c>
      <c r="B10" s="5"/>
      <c r="C10" s="5"/>
      <c r="D10" s="5"/>
      <c r="E10" s="5"/>
      <c r="F10" s="5"/>
      <c r="G10" s="5"/>
      <c r="H10" s="6"/>
      <c r="I10" s="10" t="s">
        <v>76</v>
      </c>
      <c r="J10" s="12" t="s">
        <v>1</v>
      </c>
      <c r="K10" s="13"/>
      <c r="L10" s="13"/>
      <c r="M10" s="13"/>
      <c r="N10" s="13"/>
      <c r="O10" s="13"/>
      <c r="P10" s="13"/>
      <c r="Q10" s="14"/>
    </row>
    <row r="11" spans="1:17" ht="14.25" customHeight="1" x14ac:dyDescent="0.2">
      <c r="A11" s="7"/>
      <c r="B11" s="8"/>
      <c r="C11" s="8"/>
      <c r="D11" s="8"/>
      <c r="E11" s="8"/>
      <c r="F11" s="8"/>
      <c r="G11" s="8"/>
      <c r="H11" s="9"/>
      <c r="I11" s="19"/>
      <c r="J11" s="15"/>
      <c r="K11" s="16"/>
      <c r="L11" s="16"/>
      <c r="M11" s="16"/>
      <c r="N11" s="16"/>
      <c r="O11" s="16"/>
      <c r="P11" s="16"/>
      <c r="Q11" s="17"/>
    </row>
    <row r="12" spans="1:17" ht="14.25" customHeight="1" x14ac:dyDescent="0.2">
      <c r="B12" t="s">
        <v>24</v>
      </c>
      <c r="C12" t="s">
        <v>2</v>
      </c>
      <c r="D12">
        <f>D9+72</f>
        <v>200</v>
      </c>
      <c r="F12" t="s">
        <v>3</v>
      </c>
      <c r="I12" s="19"/>
      <c r="K12" t="s">
        <v>14</v>
      </c>
      <c r="L12" t="s">
        <v>2</v>
      </c>
      <c r="M12">
        <f>M9+96</f>
        <v>200</v>
      </c>
      <c r="O12" t="s">
        <v>15</v>
      </c>
    </row>
    <row r="13" spans="1:17" ht="14.25" customHeight="1" x14ac:dyDescent="0.2">
      <c r="B13" t="s">
        <v>5</v>
      </c>
      <c r="C13" t="s">
        <v>4</v>
      </c>
      <c r="D13">
        <f>D12+2</f>
        <v>202</v>
      </c>
      <c r="F13" t="s">
        <v>80</v>
      </c>
      <c r="I13" s="19"/>
      <c r="K13" t="s">
        <v>16</v>
      </c>
      <c r="L13" t="s">
        <v>17</v>
      </c>
      <c r="M13">
        <f>M12+2</f>
        <v>202</v>
      </c>
      <c r="O13" t="s">
        <v>18</v>
      </c>
    </row>
    <row r="14" spans="1:17" ht="14.25" customHeight="1" x14ac:dyDescent="0.2">
      <c r="B14" t="s">
        <v>78</v>
      </c>
      <c r="C14" t="s">
        <v>4</v>
      </c>
      <c r="D14">
        <f>D13+26</f>
        <v>228</v>
      </c>
      <c r="F14" t="s">
        <v>81</v>
      </c>
      <c r="I14" s="19"/>
      <c r="K14" t="s">
        <v>87</v>
      </c>
      <c r="M14">
        <f>M13+2</f>
        <v>204</v>
      </c>
    </row>
    <row r="15" spans="1:17" ht="14.25" customHeight="1" x14ac:dyDescent="0.2">
      <c r="B15" t="s">
        <v>86</v>
      </c>
      <c r="D15">
        <f>D14+26</f>
        <v>254</v>
      </c>
      <c r="I15" s="18"/>
    </row>
    <row r="16" spans="1:17" ht="14.25" customHeight="1" x14ac:dyDescent="0.2">
      <c r="A16" s="4" t="s">
        <v>0</v>
      </c>
      <c r="B16" s="5"/>
      <c r="C16" s="5"/>
      <c r="D16" s="5"/>
      <c r="E16" s="5"/>
      <c r="F16" s="5"/>
      <c r="G16" s="5"/>
      <c r="H16" s="6"/>
      <c r="I16" s="10" t="s">
        <v>60</v>
      </c>
      <c r="J16" s="12" t="s">
        <v>1</v>
      </c>
      <c r="K16" s="13"/>
      <c r="L16" s="13"/>
      <c r="M16" s="13"/>
      <c r="N16" s="13"/>
      <c r="O16" s="13"/>
      <c r="P16" s="13"/>
      <c r="Q16" s="14"/>
    </row>
    <row r="17" spans="1:17" ht="14.25" customHeight="1" x14ac:dyDescent="0.2">
      <c r="A17" s="7"/>
      <c r="B17" s="8"/>
      <c r="C17" s="8"/>
      <c r="D17" s="8"/>
      <c r="E17" s="8"/>
      <c r="F17" s="8"/>
      <c r="G17" s="8"/>
      <c r="H17" s="9"/>
      <c r="I17" s="19"/>
      <c r="J17" s="15"/>
      <c r="K17" s="16"/>
      <c r="L17" s="16"/>
      <c r="M17" s="16"/>
      <c r="N17" s="16"/>
      <c r="O17" s="16"/>
      <c r="P17" s="16"/>
      <c r="Q17" s="17"/>
    </row>
    <row r="18" spans="1:17" ht="14.25" customHeight="1" x14ac:dyDescent="0.2">
      <c r="B18" t="s">
        <v>24</v>
      </c>
      <c r="C18" t="s">
        <v>2</v>
      </c>
      <c r="D18">
        <f>D15+46</f>
        <v>300</v>
      </c>
      <c r="F18" t="s">
        <v>3</v>
      </c>
      <c r="I18" s="19"/>
      <c r="K18" t="s">
        <v>14</v>
      </c>
      <c r="L18" t="s">
        <v>2</v>
      </c>
      <c r="M18">
        <f>M14+96</f>
        <v>300</v>
      </c>
      <c r="O18" t="s">
        <v>15</v>
      </c>
    </row>
    <row r="19" spans="1:17" ht="14.25" customHeight="1" x14ac:dyDescent="0.2">
      <c r="B19" t="s">
        <v>5</v>
      </c>
      <c r="C19" t="s">
        <v>4</v>
      </c>
      <c r="D19">
        <f>D18+2</f>
        <v>302</v>
      </c>
      <c r="F19" t="s">
        <v>39</v>
      </c>
      <c r="I19" s="19"/>
      <c r="K19" t="s">
        <v>16</v>
      </c>
      <c r="L19" t="s">
        <v>17</v>
      </c>
      <c r="M19">
        <f>M18+2</f>
        <v>302</v>
      </c>
      <c r="O19" t="s">
        <v>18</v>
      </c>
    </row>
    <row r="20" spans="1:17" ht="14.25" customHeight="1" x14ac:dyDescent="0.2">
      <c r="B20" t="s">
        <v>77</v>
      </c>
      <c r="C20" t="s">
        <v>4</v>
      </c>
      <c r="D20">
        <f>D19+26</f>
        <v>328</v>
      </c>
      <c r="F20" t="s">
        <v>61</v>
      </c>
      <c r="I20" s="19"/>
      <c r="K20" t="s">
        <v>87</v>
      </c>
      <c r="M20">
        <f>M19+2</f>
        <v>304</v>
      </c>
    </row>
    <row r="21" spans="1:17" ht="14.25" customHeight="1" x14ac:dyDescent="0.2">
      <c r="B21" t="s">
        <v>86</v>
      </c>
      <c r="D21">
        <f>D20+26</f>
        <v>354</v>
      </c>
      <c r="I21" s="18"/>
    </row>
    <row r="22" spans="1:17" ht="14.25" customHeight="1" x14ac:dyDescent="0.2">
      <c r="A22" s="4" t="s">
        <v>0</v>
      </c>
      <c r="B22" s="5"/>
      <c r="C22" s="5"/>
      <c r="D22" s="5"/>
      <c r="E22" s="5"/>
      <c r="F22" s="5"/>
      <c r="G22" s="5"/>
      <c r="H22" s="6"/>
      <c r="I22" s="10" t="s">
        <v>82</v>
      </c>
      <c r="J22" s="12" t="s">
        <v>1</v>
      </c>
      <c r="K22" s="13"/>
      <c r="L22" s="13"/>
      <c r="M22" s="13"/>
      <c r="N22" s="13"/>
      <c r="O22" s="13"/>
      <c r="P22" s="13"/>
      <c r="Q22" s="14"/>
    </row>
    <row r="23" spans="1:17" ht="14.25" customHeight="1" x14ac:dyDescent="0.2">
      <c r="A23" s="7"/>
      <c r="B23" s="8"/>
      <c r="C23" s="8"/>
      <c r="D23" s="8"/>
      <c r="E23" s="8"/>
      <c r="F23" s="8"/>
      <c r="G23" s="8"/>
      <c r="H23" s="9"/>
      <c r="I23" s="19"/>
      <c r="J23" s="15"/>
      <c r="K23" s="16"/>
      <c r="L23" s="16"/>
      <c r="M23" s="16"/>
      <c r="N23" s="16"/>
      <c r="O23" s="16"/>
      <c r="P23" s="16"/>
      <c r="Q23" s="17"/>
    </row>
    <row r="24" spans="1:17" ht="14.25" customHeight="1" x14ac:dyDescent="0.2">
      <c r="B24" t="s">
        <v>24</v>
      </c>
      <c r="C24" t="s">
        <v>2</v>
      </c>
      <c r="D24">
        <f>D21+46</f>
        <v>400</v>
      </c>
      <c r="F24" t="s">
        <v>3</v>
      </c>
      <c r="I24" s="19"/>
      <c r="K24" t="s">
        <v>14</v>
      </c>
      <c r="L24" t="s">
        <v>2</v>
      </c>
      <c r="M24">
        <f>M20+96</f>
        <v>400</v>
      </c>
      <c r="O24" t="s">
        <v>15</v>
      </c>
    </row>
    <row r="25" spans="1:17" ht="14.25" customHeight="1" x14ac:dyDescent="0.2">
      <c r="B25" t="s">
        <v>88</v>
      </c>
      <c r="D25">
        <f>D24+2</f>
        <v>402</v>
      </c>
      <c r="I25" s="19"/>
      <c r="K25" t="s">
        <v>16</v>
      </c>
      <c r="L25" t="s">
        <v>17</v>
      </c>
      <c r="M25">
        <f>M24+2</f>
        <v>402</v>
      </c>
      <c r="O25" t="s">
        <v>18</v>
      </c>
    </row>
    <row r="26" spans="1:17" ht="14.25" customHeight="1" x14ac:dyDescent="0.2">
      <c r="I26" s="19"/>
      <c r="K26" t="s">
        <v>78</v>
      </c>
      <c r="L26" t="s">
        <v>4</v>
      </c>
      <c r="M26">
        <f>M25+2</f>
        <v>404</v>
      </c>
      <c r="O26" t="s">
        <v>83</v>
      </c>
    </row>
    <row r="27" spans="1:17" ht="14.25" customHeight="1" x14ac:dyDescent="0.2">
      <c r="I27" s="18"/>
      <c r="K27" t="s">
        <v>90</v>
      </c>
      <c r="M27">
        <f>M26+26</f>
        <v>430</v>
      </c>
    </row>
    <row r="28" spans="1:17" ht="14.25" customHeight="1" x14ac:dyDescent="0.2">
      <c r="A28" s="4" t="s">
        <v>0</v>
      </c>
      <c r="B28" s="5"/>
      <c r="C28" s="5"/>
      <c r="D28" s="5"/>
      <c r="E28" s="5"/>
      <c r="F28" s="5"/>
      <c r="G28" s="5"/>
      <c r="H28" s="6"/>
      <c r="I28" s="20" t="s">
        <v>59</v>
      </c>
      <c r="J28" s="12" t="s">
        <v>1</v>
      </c>
      <c r="K28" s="13"/>
      <c r="L28" s="13"/>
      <c r="M28" s="13"/>
      <c r="N28" s="13"/>
      <c r="O28" s="13"/>
      <c r="P28" s="13"/>
      <c r="Q28" s="14"/>
    </row>
    <row r="29" spans="1:17" ht="14.25" customHeight="1" x14ac:dyDescent="0.2">
      <c r="A29" s="7"/>
      <c r="B29" s="8"/>
      <c r="C29" s="8"/>
      <c r="D29" s="8"/>
      <c r="E29" s="8"/>
      <c r="F29" s="8"/>
      <c r="G29" s="8"/>
      <c r="H29" s="9"/>
      <c r="I29" s="21"/>
      <c r="J29" s="15"/>
      <c r="K29" s="16"/>
      <c r="L29" s="16"/>
      <c r="M29" s="16"/>
      <c r="N29" s="16"/>
      <c r="O29" s="16"/>
      <c r="P29" s="16"/>
      <c r="Q29" s="17"/>
    </row>
    <row r="30" spans="1:17" ht="14.25" customHeight="1" x14ac:dyDescent="0.2">
      <c r="B30" t="s">
        <v>24</v>
      </c>
      <c r="C30" t="s">
        <v>2</v>
      </c>
      <c r="D30">
        <f>D25+98</f>
        <v>500</v>
      </c>
      <c r="F30" t="s">
        <v>3</v>
      </c>
      <c r="I30" s="21"/>
      <c r="K30" t="s">
        <v>14</v>
      </c>
      <c r="L30" t="s">
        <v>2</v>
      </c>
      <c r="M30">
        <f>M27+70</f>
        <v>500</v>
      </c>
      <c r="O30" t="s">
        <v>15</v>
      </c>
    </row>
    <row r="31" spans="1:17" ht="14.25" customHeight="1" x14ac:dyDescent="0.2">
      <c r="B31" t="s">
        <v>27</v>
      </c>
      <c r="C31" t="s">
        <v>19</v>
      </c>
      <c r="D31">
        <f>D30+2</f>
        <v>502</v>
      </c>
      <c r="F31" t="s">
        <v>33</v>
      </c>
      <c r="I31" s="21"/>
      <c r="K31" t="s">
        <v>16</v>
      </c>
      <c r="L31" t="s">
        <v>17</v>
      </c>
      <c r="M31">
        <f>M30+2</f>
        <v>502</v>
      </c>
      <c r="O31" t="s">
        <v>18</v>
      </c>
    </row>
    <row r="32" spans="1:17" ht="14.25" customHeight="1" x14ac:dyDescent="0.2">
      <c r="B32" t="s">
        <v>28</v>
      </c>
      <c r="C32" t="s">
        <v>19</v>
      </c>
      <c r="D32">
        <f>D31+4</f>
        <v>506</v>
      </c>
      <c r="F32" t="s">
        <v>34</v>
      </c>
      <c r="I32" s="21"/>
      <c r="K32" t="s">
        <v>87</v>
      </c>
      <c r="M32">
        <f>M31+2</f>
        <v>504</v>
      </c>
    </row>
    <row r="33" spans="1:17" ht="14.25" customHeight="1" x14ac:dyDescent="0.2">
      <c r="B33" t="s">
        <v>29</v>
      </c>
      <c r="C33" t="s">
        <v>19</v>
      </c>
      <c r="D33">
        <f t="shared" ref="D33:D40" si="0">D32+4</f>
        <v>510</v>
      </c>
      <c r="F33" t="s">
        <v>35</v>
      </c>
      <c r="I33" s="21"/>
    </row>
    <row r="34" spans="1:17" ht="14.25" customHeight="1" x14ac:dyDescent="0.2">
      <c r="B34" t="s">
        <v>30</v>
      </c>
      <c r="C34" t="s">
        <v>19</v>
      </c>
      <c r="D34">
        <f t="shared" si="0"/>
        <v>514</v>
      </c>
      <c r="F34" t="s">
        <v>36</v>
      </c>
      <c r="I34" s="21"/>
    </row>
    <row r="35" spans="1:17" ht="14.25" customHeight="1" x14ac:dyDescent="0.2">
      <c r="B35" t="s">
        <v>31</v>
      </c>
      <c r="C35" t="s">
        <v>19</v>
      </c>
      <c r="D35">
        <f t="shared" si="0"/>
        <v>518</v>
      </c>
      <c r="F35" t="s">
        <v>37</v>
      </c>
      <c r="I35" s="21"/>
    </row>
    <row r="36" spans="1:17" ht="14.25" customHeight="1" x14ac:dyDescent="0.2">
      <c r="B36" t="s">
        <v>32</v>
      </c>
      <c r="C36" t="s">
        <v>19</v>
      </c>
      <c r="D36">
        <f t="shared" si="0"/>
        <v>522</v>
      </c>
      <c r="F36" t="s">
        <v>38</v>
      </c>
      <c r="I36" s="21"/>
    </row>
    <row r="37" spans="1:17" ht="14.25" customHeight="1" x14ac:dyDescent="0.2">
      <c r="B37" t="s">
        <v>41</v>
      </c>
      <c r="C37" t="s">
        <v>19</v>
      </c>
      <c r="D37">
        <f t="shared" si="0"/>
        <v>526</v>
      </c>
      <c r="F37" t="s">
        <v>45</v>
      </c>
      <c r="I37" s="21"/>
    </row>
    <row r="38" spans="1:17" ht="14.25" customHeight="1" x14ac:dyDescent="0.2">
      <c r="B38" t="s">
        <v>42</v>
      </c>
      <c r="C38" t="s">
        <v>19</v>
      </c>
      <c r="D38">
        <f t="shared" si="0"/>
        <v>530</v>
      </c>
      <c r="F38" t="s">
        <v>46</v>
      </c>
      <c r="I38" s="21"/>
    </row>
    <row r="39" spans="1:17" ht="14.25" customHeight="1" x14ac:dyDescent="0.2">
      <c r="B39" t="s">
        <v>43</v>
      </c>
      <c r="C39" t="s">
        <v>19</v>
      </c>
      <c r="D39">
        <f t="shared" si="0"/>
        <v>534</v>
      </c>
      <c r="F39" t="s">
        <v>47</v>
      </c>
      <c r="I39" s="21"/>
    </row>
    <row r="40" spans="1:17" ht="14.25" customHeight="1" x14ac:dyDescent="0.2">
      <c r="B40" t="s">
        <v>44</v>
      </c>
      <c r="C40" t="s">
        <v>19</v>
      </c>
      <c r="D40">
        <f t="shared" si="0"/>
        <v>538</v>
      </c>
      <c r="F40" t="s">
        <v>48</v>
      </c>
      <c r="I40" s="21"/>
    </row>
    <row r="41" spans="1:17" ht="14.25" customHeight="1" x14ac:dyDescent="0.2">
      <c r="B41" t="s">
        <v>89</v>
      </c>
      <c r="D41">
        <f>D40+4</f>
        <v>542</v>
      </c>
      <c r="I41" s="22"/>
    </row>
    <row r="42" spans="1:17" ht="14.25" customHeight="1" x14ac:dyDescent="0.2">
      <c r="A42" s="4" t="s">
        <v>0</v>
      </c>
      <c r="B42" s="5"/>
      <c r="C42" s="5"/>
      <c r="D42" s="5"/>
      <c r="E42" s="5"/>
      <c r="F42" s="5"/>
      <c r="G42" s="5"/>
      <c r="H42" s="6"/>
      <c r="I42" s="10" t="s">
        <v>62</v>
      </c>
      <c r="J42" s="12" t="s">
        <v>1</v>
      </c>
      <c r="K42" s="13"/>
      <c r="L42" s="13"/>
      <c r="M42" s="13"/>
      <c r="N42" s="13"/>
      <c r="O42" s="13"/>
      <c r="P42" s="13"/>
      <c r="Q42" s="14"/>
    </row>
    <row r="43" spans="1:17" ht="14.25" customHeight="1" x14ac:dyDescent="0.2">
      <c r="A43" s="7"/>
      <c r="B43" s="8"/>
      <c r="C43" s="8"/>
      <c r="D43" s="8"/>
      <c r="E43" s="8"/>
      <c r="F43" s="8"/>
      <c r="G43" s="8"/>
      <c r="H43" s="9"/>
      <c r="I43" s="19"/>
      <c r="J43" s="15"/>
      <c r="K43" s="16"/>
      <c r="L43" s="16"/>
      <c r="M43" s="16"/>
      <c r="N43" s="16"/>
      <c r="O43" s="16"/>
      <c r="P43" s="16"/>
      <c r="Q43" s="17"/>
    </row>
    <row r="44" spans="1:17" ht="14.25" customHeight="1" x14ac:dyDescent="0.2">
      <c r="B44" t="s">
        <v>24</v>
      </c>
      <c r="C44" t="s">
        <v>2</v>
      </c>
      <c r="D44">
        <f>D41+58</f>
        <v>600</v>
      </c>
      <c r="F44" t="s">
        <v>3</v>
      </c>
      <c r="I44" s="19"/>
      <c r="K44" t="s">
        <v>14</v>
      </c>
      <c r="L44" t="s">
        <v>2</v>
      </c>
      <c r="M44">
        <f>M32+96</f>
        <v>600</v>
      </c>
      <c r="O44" t="s">
        <v>15</v>
      </c>
    </row>
    <row r="45" spans="1:17" ht="14.25" customHeight="1" x14ac:dyDescent="0.2">
      <c r="B45" t="s">
        <v>5</v>
      </c>
      <c r="C45" t="s">
        <v>79</v>
      </c>
      <c r="D45">
        <f>D44+2</f>
        <v>602</v>
      </c>
      <c r="F45" t="s">
        <v>80</v>
      </c>
      <c r="I45" s="19"/>
      <c r="K45" t="s">
        <v>16</v>
      </c>
      <c r="L45" t="s">
        <v>17</v>
      </c>
      <c r="M45">
        <f>M44+2</f>
        <v>602</v>
      </c>
      <c r="O45" t="s">
        <v>18</v>
      </c>
    </row>
    <row r="46" spans="1:17" ht="14.25" customHeight="1" x14ac:dyDescent="0.2">
      <c r="B46" t="s">
        <v>25</v>
      </c>
      <c r="C46" t="s">
        <v>26</v>
      </c>
      <c r="D46">
        <f>D45+26</f>
        <v>628</v>
      </c>
      <c r="F46" t="s">
        <v>55</v>
      </c>
      <c r="I46" s="19"/>
      <c r="K46" t="s">
        <v>93</v>
      </c>
      <c r="M46">
        <f>M45+2</f>
        <v>604</v>
      </c>
    </row>
    <row r="47" spans="1:17" ht="14.25" customHeight="1" x14ac:dyDescent="0.2">
      <c r="B47" t="s">
        <v>63</v>
      </c>
      <c r="C47" t="s">
        <v>19</v>
      </c>
      <c r="D47">
        <f>D46+12</f>
        <v>640</v>
      </c>
      <c r="F47" t="s">
        <v>49</v>
      </c>
      <c r="I47" s="19"/>
    </row>
    <row r="48" spans="1:17" ht="14.25" customHeight="1" x14ac:dyDescent="0.2">
      <c r="B48" t="s">
        <v>64</v>
      </c>
      <c r="C48" t="s">
        <v>19</v>
      </c>
      <c r="D48">
        <f>D47+4</f>
        <v>644</v>
      </c>
      <c r="F48" t="s">
        <v>50</v>
      </c>
      <c r="I48" s="19"/>
    </row>
    <row r="49" spans="1:17" ht="14.25" customHeight="1" x14ac:dyDescent="0.2">
      <c r="B49" t="s">
        <v>65</v>
      </c>
      <c r="C49" t="s">
        <v>19</v>
      </c>
      <c r="D49">
        <f t="shared" ref="D49:D56" si="1">D48+4</f>
        <v>648</v>
      </c>
      <c r="F49" t="s">
        <v>51</v>
      </c>
      <c r="I49" s="19"/>
    </row>
    <row r="50" spans="1:17" ht="14.25" customHeight="1" x14ac:dyDescent="0.2">
      <c r="B50" t="s">
        <v>66</v>
      </c>
      <c r="C50" t="s">
        <v>19</v>
      </c>
      <c r="D50">
        <f t="shared" si="1"/>
        <v>652</v>
      </c>
      <c r="F50" t="s">
        <v>52</v>
      </c>
      <c r="I50" s="19"/>
    </row>
    <row r="51" spans="1:17" ht="14.25" customHeight="1" x14ac:dyDescent="0.2">
      <c r="B51" t="s">
        <v>67</v>
      </c>
      <c r="C51" t="s">
        <v>19</v>
      </c>
      <c r="D51">
        <f t="shared" si="1"/>
        <v>656</v>
      </c>
      <c r="F51" t="s">
        <v>53</v>
      </c>
      <c r="I51" s="19"/>
    </row>
    <row r="52" spans="1:17" ht="14.25" customHeight="1" x14ac:dyDescent="0.2">
      <c r="B52" t="s">
        <v>68</v>
      </c>
      <c r="C52" t="s">
        <v>19</v>
      </c>
      <c r="D52">
        <f t="shared" si="1"/>
        <v>660</v>
      </c>
      <c r="F52" t="s">
        <v>54</v>
      </c>
      <c r="I52" s="19"/>
    </row>
    <row r="53" spans="1:17" ht="14.25" customHeight="1" x14ac:dyDescent="0.2">
      <c r="B53" t="s">
        <v>69</v>
      </c>
      <c r="C53" t="s">
        <v>19</v>
      </c>
      <c r="D53">
        <f t="shared" si="1"/>
        <v>664</v>
      </c>
      <c r="F53" t="s">
        <v>56</v>
      </c>
      <c r="I53" s="19"/>
    </row>
    <row r="54" spans="1:17" ht="14.25" customHeight="1" x14ac:dyDescent="0.2">
      <c r="B54" t="s">
        <v>70</v>
      </c>
      <c r="C54" t="s">
        <v>19</v>
      </c>
      <c r="D54">
        <f t="shared" si="1"/>
        <v>668</v>
      </c>
      <c r="F54" t="s">
        <v>57</v>
      </c>
      <c r="I54" s="19"/>
    </row>
    <row r="55" spans="1:17" ht="14.25" customHeight="1" x14ac:dyDescent="0.2">
      <c r="B55" t="s">
        <v>71</v>
      </c>
      <c r="C55" t="s">
        <v>19</v>
      </c>
      <c r="D55">
        <f t="shared" si="1"/>
        <v>672</v>
      </c>
      <c r="F55" t="s">
        <v>84</v>
      </c>
      <c r="I55" s="19"/>
    </row>
    <row r="56" spans="1:17" ht="14.25" customHeight="1" x14ac:dyDescent="0.2">
      <c r="B56" t="s">
        <v>72</v>
      </c>
      <c r="C56" t="s">
        <v>19</v>
      </c>
      <c r="D56">
        <f t="shared" si="1"/>
        <v>676</v>
      </c>
      <c r="F56" t="s">
        <v>58</v>
      </c>
      <c r="I56" s="19"/>
    </row>
    <row r="57" spans="1:17" x14ac:dyDescent="0.2">
      <c r="B57" t="s">
        <v>91</v>
      </c>
      <c r="D57">
        <f>D56+4</f>
        <v>680</v>
      </c>
      <c r="I57" s="18"/>
    </row>
    <row r="58" spans="1:17" ht="14.25" customHeight="1" x14ac:dyDescent="0.2">
      <c r="A58" s="4" t="s">
        <v>0</v>
      </c>
      <c r="B58" s="5"/>
      <c r="C58" s="5"/>
      <c r="D58" s="5"/>
      <c r="E58" s="5"/>
      <c r="F58" s="5"/>
      <c r="G58" s="5"/>
      <c r="H58" s="6"/>
      <c r="I58" s="10" t="s">
        <v>95</v>
      </c>
      <c r="J58" s="12" t="s">
        <v>1</v>
      </c>
      <c r="K58" s="13"/>
      <c r="L58" s="13"/>
      <c r="M58" s="13"/>
      <c r="N58" s="13"/>
      <c r="O58" s="13"/>
      <c r="P58" s="13"/>
      <c r="Q58" s="14"/>
    </row>
    <row r="59" spans="1:17" ht="14.25" customHeight="1" x14ac:dyDescent="0.2">
      <c r="A59" s="7"/>
      <c r="B59" s="8"/>
      <c r="C59" s="8"/>
      <c r="D59" s="8"/>
      <c r="E59" s="8"/>
      <c r="F59" s="8"/>
      <c r="G59" s="8"/>
      <c r="H59" s="9"/>
      <c r="I59" s="11"/>
      <c r="J59" s="15"/>
      <c r="K59" s="16"/>
      <c r="L59" s="16"/>
      <c r="M59" s="16"/>
      <c r="N59" s="16"/>
      <c r="O59" s="16"/>
      <c r="P59" s="16"/>
      <c r="Q59" s="17"/>
    </row>
    <row r="60" spans="1:17" ht="14.25" customHeight="1" x14ac:dyDescent="0.2">
      <c r="B60" t="s">
        <v>24</v>
      </c>
      <c r="C60" t="s">
        <v>2</v>
      </c>
      <c r="D60">
        <f>D57+120</f>
        <v>800</v>
      </c>
      <c r="F60" t="s">
        <v>3</v>
      </c>
      <c r="I60" s="11"/>
      <c r="K60" t="s">
        <v>14</v>
      </c>
      <c r="L60" t="s">
        <v>2</v>
      </c>
      <c r="M60">
        <f>M46+196</f>
        <v>800</v>
      </c>
      <c r="O60" t="s">
        <v>15</v>
      </c>
    </row>
    <row r="61" spans="1:17" ht="14.25" customHeight="1" x14ac:dyDescent="0.2">
      <c r="B61" t="s">
        <v>5</v>
      </c>
      <c r="C61" t="s">
        <v>79</v>
      </c>
      <c r="D61">
        <f>D60+2</f>
        <v>802</v>
      </c>
      <c r="F61" t="s">
        <v>80</v>
      </c>
      <c r="I61" s="11"/>
      <c r="K61" t="s">
        <v>16</v>
      </c>
      <c r="L61" t="s">
        <v>17</v>
      </c>
      <c r="M61">
        <f>M60+2</f>
        <v>802</v>
      </c>
      <c r="O61" t="s">
        <v>18</v>
      </c>
    </row>
    <row r="62" spans="1:17" ht="14.25" customHeight="1" x14ac:dyDescent="0.2">
      <c r="I62" s="11"/>
      <c r="K62" t="s">
        <v>107</v>
      </c>
      <c r="L62" t="s">
        <v>92</v>
      </c>
      <c r="M62">
        <f>M61+2</f>
        <v>804</v>
      </c>
    </row>
    <row r="63" spans="1:17" ht="14.25" customHeight="1" x14ac:dyDescent="0.2">
      <c r="I63" s="11"/>
    </row>
    <row r="64" spans="1:17" ht="14.25" customHeight="1" x14ac:dyDescent="0.2">
      <c r="I64" s="11"/>
    </row>
    <row r="65" spans="9:9" ht="14.25" customHeight="1" x14ac:dyDescent="0.2">
      <c r="I65" s="11"/>
    </row>
    <row r="66" spans="9:9" ht="14.25" customHeight="1" x14ac:dyDescent="0.2">
      <c r="I66" s="11"/>
    </row>
    <row r="67" spans="9:9" ht="14.25" customHeight="1" x14ac:dyDescent="0.2">
      <c r="I67" s="11"/>
    </row>
    <row r="68" spans="9:9" ht="14.25" customHeight="1" x14ac:dyDescent="0.2">
      <c r="I68" s="11"/>
    </row>
    <row r="69" spans="9:9" ht="14.25" customHeight="1" x14ac:dyDescent="0.2">
      <c r="I69" s="11"/>
    </row>
    <row r="70" spans="9:9" ht="14.25" customHeight="1" x14ac:dyDescent="0.2">
      <c r="I70" s="11"/>
    </row>
    <row r="71" spans="9:9" ht="14.25" customHeight="1" x14ac:dyDescent="0.2">
      <c r="I71" s="11"/>
    </row>
    <row r="72" spans="9:9" ht="14.25" customHeight="1" x14ac:dyDescent="0.2">
      <c r="I72" s="18"/>
    </row>
  </sheetData>
  <mergeCells count="24">
    <mergeCell ref="A42:H43"/>
    <mergeCell ref="I42:I57"/>
    <mergeCell ref="J42:Q43"/>
    <mergeCell ref="A58:H59"/>
    <mergeCell ref="I58:I72"/>
    <mergeCell ref="J58:Q59"/>
    <mergeCell ref="I22:I27"/>
    <mergeCell ref="J22:Q23"/>
    <mergeCell ref="A28:H29"/>
    <mergeCell ref="I28:I41"/>
    <mergeCell ref="J28:Q29"/>
    <mergeCell ref="A2:H3"/>
    <mergeCell ref="I2:I4"/>
    <mergeCell ref="J2:Q3"/>
    <mergeCell ref="A5:H6"/>
    <mergeCell ref="J5:Q6"/>
    <mergeCell ref="I5:I9"/>
    <mergeCell ref="A10:H11"/>
    <mergeCell ref="I10:I15"/>
    <mergeCell ref="J10:Q11"/>
    <mergeCell ref="A16:H17"/>
    <mergeCell ref="I16:I21"/>
    <mergeCell ref="J16:Q17"/>
    <mergeCell ref="A22:H2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6EC3A-BB71-4DD8-9B6B-1EF8D7FC4A79}">
  <dimension ref="A1:Q72"/>
  <sheetViews>
    <sheetView topLeftCell="A34" workbookViewId="0">
      <selection activeCell="I58" sqref="I58:I72"/>
    </sheetView>
  </sheetViews>
  <sheetFormatPr defaultRowHeight="14.25" x14ac:dyDescent="0.2"/>
  <cols>
    <col min="1" max="1" width="6.5" bestFit="1" customWidth="1"/>
    <col min="2" max="2" width="14.625" bestFit="1" customWidth="1"/>
    <col min="3" max="3" width="22.25" bestFit="1" customWidth="1"/>
    <col min="4" max="4" width="11.375" bestFit="1" customWidth="1"/>
    <col min="5" max="5" width="4.125" bestFit="1" customWidth="1"/>
    <col min="6" max="6" width="42.125" bestFit="1" customWidth="1"/>
    <col min="7" max="8" width="6.5" bestFit="1" customWidth="1"/>
    <col min="9" max="9" width="34.75" bestFit="1" customWidth="1"/>
    <col min="10" max="10" width="6.5" bestFit="1" customWidth="1"/>
    <col min="11" max="11" width="13.125" bestFit="1" customWidth="1"/>
    <col min="12" max="12" width="19" bestFit="1" customWidth="1"/>
    <col min="13" max="13" width="11.375" bestFit="1" customWidth="1"/>
    <col min="14" max="14" width="4.125" bestFit="1" customWidth="1"/>
    <col min="15" max="15" width="37.125" bestFit="1" customWidth="1"/>
    <col min="16" max="17" width="6.5" bestFit="1" customWidth="1"/>
  </cols>
  <sheetData>
    <row r="1" spans="1:17" ht="18" x14ac:dyDescent="0.2">
      <c r="A1" s="1" t="s">
        <v>6</v>
      </c>
      <c r="B1" s="1" t="s">
        <v>7</v>
      </c>
      <c r="C1" s="1" t="s">
        <v>8</v>
      </c>
      <c r="D1" s="1" t="s">
        <v>10</v>
      </c>
      <c r="E1" s="1" t="s">
        <v>12</v>
      </c>
      <c r="F1" s="1" t="s">
        <v>13</v>
      </c>
      <c r="G1" s="1" t="s">
        <v>11</v>
      </c>
      <c r="H1" s="1" t="s">
        <v>9</v>
      </c>
      <c r="I1" s="2" t="s">
        <v>20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12</v>
      </c>
      <c r="O1" s="3" t="s">
        <v>13</v>
      </c>
      <c r="P1" s="3" t="s">
        <v>11</v>
      </c>
      <c r="Q1" s="3" t="s">
        <v>9</v>
      </c>
    </row>
    <row r="2" spans="1:17" ht="14.25" customHeight="1" x14ac:dyDescent="0.2">
      <c r="A2" s="4" t="s">
        <v>0</v>
      </c>
      <c r="B2" s="5"/>
      <c r="C2" s="5"/>
      <c r="D2" s="5"/>
      <c r="E2" s="5"/>
      <c r="F2" s="5"/>
      <c r="G2" s="5"/>
      <c r="H2" s="6"/>
      <c r="I2" s="10" t="s">
        <v>21</v>
      </c>
      <c r="J2" s="12" t="s">
        <v>1</v>
      </c>
      <c r="K2" s="13"/>
      <c r="L2" s="13"/>
      <c r="M2" s="13"/>
      <c r="N2" s="13"/>
      <c r="O2" s="13"/>
      <c r="P2" s="13"/>
      <c r="Q2" s="14"/>
    </row>
    <row r="3" spans="1:17" ht="14.25" customHeight="1" x14ac:dyDescent="0.2">
      <c r="A3" s="7"/>
      <c r="B3" s="8"/>
      <c r="C3" s="8"/>
      <c r="D3" s="8"/>
      <c r="E3" s="8"/>
      <c r="F3" s="8"/>
      <c r="G3" s="8"/>
      <c r="H3" s="9"/>
      <c r="I3" s="11"/>
      <c r="J3" s="15"/>
      <c r="K3" s="16"/>
      <c r="L3" s="16"/>
      <c r="M3" s="16"/>
      <c r="N3" s="16"/>
      <c r="O3" s="16"/>
      <c r="P3" s="16"/>
      <c r="Q3" s="17"/>
    </row>
    <row r="4" spans="1:17" ht="14.25" customHeight="1" x14ac:dyDescent="0.2">
      <c r="H4">
        <v>200</v>
      </c>
      <c r="I4" s="11"/>
      <c r="K4" t="s">
        <v>22</v>
      </c>
      <c r="L4" t="s">
        <v>2</v>
      </c>
      <c r="M4">
        <v>0</v>
      </c>
      <c r="O4" t="s">
        <v>23</v>
      </c>
      <c r="Q4">
        <v>201</v>
      </c>
    </row>
    <row r="5" spans="1:17" ht="14.25" customHeight="1" x14ac:dyDescent="0.2">
      <c r="A5" s="4" t="s">
        <v>0</v>
      </c>
      <c r="B5" s="5"/>
      <c r="C5" s="5"/>
      <c r="D5" s="5"/>
      <c r="E5" s="5"/>
      <c r="F5" s="5"/>
      <c r="G5" s="5"/>
      <c r="H5" s="6"/>
      <c r="I5" s="10" t="s">
        <v>40</v>
      </c>
      <c r="J5" s="12" t="s">
        <v>1</v>
      </c>
      <c r="K5" s="13"/>
      <c r="L5" s="13"/>
      <c r="M5" s="13"/>
      <c r="N5" s="13"/>
      <c r="O5" s="13"/>
      <c r="P5" s="13"/>
      <c r="Q5" s="14"/>
    </row>
    <row r="6" spans="1:17" ht="14.25" customHeight="1" x14ac:dyDescent="0.2">
      <c r="A6" s="7"/>
      <c r="B6" s="8"/>
      <c r="C6" s="8"/>
      <c r="D6" s="8"/>
      <c r="E6" s="8"/>
      <c r="F6" s="8"/>
      <c r="G6" s="8"/>
      <c r="H6" s="9"/>
      <c r="I6" s="19"/>
      <c r="J6" s="15"/>
      <c r="K6" s="16"/>
      <c r="L6" s="16"/>
      <c r="M6" s="16"/>
      <c r="N6" s="16"/>
      <c r="O6" s="16"/>
      <c r="P6" s="16"/>
      <c r="Q6" s="17"/>
    </row>
    <row r="7" spans="1:17" ht="14.25" customHeight="1" x14ac:dyDescent="0.2">
      <c r="B7" t="s">
        <v>24</v>
      </c>
      <c r="C7" t="s">
        <v>2</v>
      </c>
      <c r="D7">
        <v>100</v>
      </c>
      <c r="F7" t="s">
        <v>73</v>
      </c>
      <c r="I7" s="19"/>
      <c r="K7" t="s">
        <v>14</v>
      </c>
      <c r="L7" t="s">
        <v>2</v>
      </c>
      <c r="M7">
        <v>100</v>
      </c>
      <c r="N7">
        <v>0</v>
      </c>
      <c r="O7" t="s">
        <v>74</v>
      </c>
    </row>
    <row r="8" spans="1:17" ht="14.25" customHeight="1" x14ac:dyDescent="0.2">
      <c r="B8" t="s">
        <v>5</v>
      </c>
      <c r="C8" t="s">
        <v>4</v>
      </c>
      <c r="D8">
        <f>D7+2</f>
        <v>102</v>
      </c>
      <c r="F8" t="s">
        <v>80</v>
      </c>
      <c r="I8" s="19"/>
      <c r="K8" t="s">
        <v>16</v>
      </c>
      <c r="L8" t="s">
        <v>17</v>
      </c>
      <c r="M8">
        <f>M7+2</f>
        <v>102</v>
      </c>
      <c r="O8" t="s">
        <v>75</v>
      </c>
    </row>
    <row r="9" spans="1:17" ht="14.25" customHeight="1" x14ac:dyDescent="0.2">
      <c r="B9" t="s">
        <v>85</v>
      </c>
      <c r="D9">
        <f>D8+26</f>
        <v>128</v>
      </c>
      <c r="I9" s="18"/>
      <c r="K9" t="s">
        <v>87</v>
      </c>
      <c r="M9">
        <f>M8+2</f>
        <v>104</v>
      </c>
    </row>
    <row r="10" spans="1:17" ht="14.25" customHeight="1" x14ac:dyDescent="0.2">
      <c r="A10" s="4" t="s">
        <v>0</v>
      </c>
      <c r="B10" s="5"/>
      <c r="C10" s="5"/>
      <c r="D10" s="5"/>
      <c r="E10" s="5"/>
      <c r="F10" s="5"/>
      <c r="G10" s="5"/>
      <c r="H10" s="6"/>
      <c r="I10" s="10" t="s">
        <v>76</v>
      </c>
      <c r="J10" s="12" t="s">
        <v>1</v>
      </c>
      <c r="K10" s="13"/>
      <c r="L10" s="13"/>
      <c r="M10" s="13"/>
      <c r="N10" s="13"/>
      <c r="O10" s="13"/>
      <c r="P10" s="13"/>
      <c r="Q10" s="14"/>
    </row>
    <row r="11" spans="1:17" ht="14.25" customHeight="1" x14ac:dyDescent="0.2">
      <c r="A11" s="7"/>
      <c r="B11" s="8"/>
      <c r="C11" s="8"/>
      <c r="D11" s="8"/>
      <c r="E11" s="8"/>
      <c r="F11" s="8"/>
      <c r="G11" s="8"/>
      <c r="H11" s="9"/>
      <c r="I11" s="19"/>
      <c r="J11" s="15"/>
      <c r="K11" s="16"/>
      <c r="L11" s="16"/>
      <c r="M11" s="16"/>
      <c r="N11" s="16"/>
      <c r="O11" s="16"/>
      <c r="P11" s="16"/>
      <c r="Q11" s="17"/>
    </row>
    <row r="12" spans="1:17" ht="14.25" customHeight="1" x14ac:dyDescent="0.2">
      <c r="B12" t="s">
        <v>24</v>
      </c>
      <c r="C12" t="s">
        <v>2</v>
      </c>
      <c r="D12">
        <f>D9+72</f>
        <v>200</v>
      </c>
      <c r="F12" t="s">
        <v>3</v>
      </c>
      <c r="I12" s="19"/>
      <c r="K12" t="s">
        <v>14</v>
      </c>
      <c r="L12" t="s">
        <v>2</v>
      </c>
      <c r="M12">
        <f>M9+96</f>
        <v>200</v>
      </c>
      <c r="O12" t="s">
        <v>15</v>
      </c>
    </row>
    <row r="13" spans="1:17" ht="14.25" customHeight="1" x14ac:dyDescent="0.2">
      <c r="B13" t="s">
        <v>5</v>
      </c>
      <c r="C13" t="s">
        <v>4</v>
      </c>
      <c r="D13">
        <f>D12+2</f>
        <v>202</v>
      </c>
      <c r="F13" t="s">
        <v>80</v>
      </c>
      <c r="I13" s="19"/>
      <c r="K13" t="s">
        <v>16</v>
      </c>
      <c r="L13" t="s">
        <v>17</v>
      </c>
      <c r="M13">
        <f>M12+2</f>
        <v>202</v>
      </c>
      <c r="O13" t="s">
        <v>18</v>
      </c>
    </row>
    <row r="14" spans="1:17" ht="14.25" customHeight="1" x14ac:dyDescent="0.2">
      <c r="B14" t="s">
        <v>78</v>
      </c>
      <c r="C14" t="s">
        <v>4</v>
      </c>
      <c r="D14">
        <f>D13+26</f>
        <v>228</v>
      </c>
      <c r="F14" t="s">
        <v>81</v>
      </c>
      <c r="I14" s="19"/>
      <c r="K14" t="s">
        <v>87</v>
      </c>
      <c r="M14">
        <f>M13+2</f>
        <v>204</v>
      </c>
    </row>
    <row r="15" spans="1:17" ht="14.25" customHeight="1" x14ac:dyDescent="0.2">
      <c r="B15" t="s">
        <v>86</v>
      </c>
      <c r="D15">
        <f>D14+26</f>
        <v>254</v>
      </c>
      <c r="I15" s="18"/>
    </row>
    <row r="16" spans="1:17" ht="14.25" customHeight="1" x14ac:dyDescent="0.2">
      <c r="A16" s="4" t="s">
        <v>0</v>
      </c>
      <c r="B16" s="5"/>
      <c r="C16" s="5"/>
      <c r="D16" s="5"/>
      <c r="E16" s="5"/>
      <c r="F16" s="5"/>
      <c r="G16" s="5"/>
      <c r="H16" s="6"/>
      <c r="I16" s="10" t="s">
        <v>60</v>
      </c>
      <c r="J16" s="12" t="s">
        <v>1</v>
      </c>
      <c r="K16" s="13"/>
      <c r="L16" s="13"/>
      <c r="M16" s="13"/>
      <c r="N16" s="13"/>
      <c r="O16" s="13"/>
      <c r="P16" s="13"/>
      <c r="Q16" s="14"/>
    </row>
    <row r="17" spans="1:17" ht="14.25" customHeight="1" x14ac:dyDescent="0.2">
      <c r="A17" s="7"/>
      <c r="B17" s="8"/>
      <c r="C17" s="8"/>
      <c r="D17" s="8"/>
      <c r="E17" s="8"/>
      <c r="F17" s="8"/>
      <c r="G17" s="8"/>
      <c r="H17" s="9"/>
      <c r="I17" s="19"/>
      <c r="J17" s="15"/>
      <c r="K17" s="16"/>
      <c r="L17" s="16"/>
      <c r="M17" s="16"/>
      <c r="N17" s="16"/>
      <c r="O17" s="16"/>
      <c r="P17" s="16"/>
      <c r="Q17" s="17"/>
    </row>
    <row r="18" spans="1:17" ht="14.25" customHeight="1" x14ac:dyDescent="0.2">
      <c r="B18" t="s">
        <v>24</v>
      </c>
      <c r="C18" t="s">
        <v>2</v>
      </c>
      <c r="D18">
        <f>D15+46</f>
        <v>300</v>
      </c>
      <c r="F18" t="s">
        <v>3</v>
      </c>
      <c r="I18" s="19"/>
      <c r="K18" t="s">
        <v>14</v>
      </c>
      <c r="L18" t="s">
        <v>2</v>
      </c>
      <c r="M18">
        <f>M14+96</f>
        <v>300</v>
      </c>
      <c r="O18" t="s">
        <v>15</v>
      </c>
    </row>
    <row r="19" spans="1:17" ht="14.25" customHeight="1" x14ac:dyDescent="0.2">
      <c r="B19" t="s">
        <v>5</v>
      </c>
      <c r="C19" t="s">
        <v>4</v>
      </c>
      <c r="D19">
        <f>D18+2</f>
        <v>302</v>
      </c>
      <c r="F19" t="s">
        <v>39</v>
      </c>
      <c r="I19" s="19"/>
      <c r="K19" t="s">
        <v>16</v>
      </c>
      <c r="L19" t="s">
        <v>17</v>
      </c>
      <c r="M19">
        <f>M18+2</f>
        <v>302</v>
      </c>
      <c r="O19" t="s">
        <v>18</v>
      </c>
    </row>
    <row r="20" spans="1:17" ht="14.25" customHeight="1" x14ac:dyDescent="0.2">
      <c r="B20" t="s">
        <v>77</v>
      </c>
      <c r="C20" t="s">
        <v>4</v>
      </c>
      <c r="D20">
        <f>D19+26</f>
        <v>328</v>
      </c>
      <c r="F20" t="s">
        <v>61</v>
      </c>
      <c r="I20" s="19"/>
      <c r="K20" t="s">
        <v>87</v>
      </c>
      <c r="M20">
        <f>M19+2</f>
        <v>304</v>
      </c>
    </row>
    <row r="21" spans="1:17" ht="14.25" customHeight="1" x14ac:dyDescent="0.2">
      <c r="B21" t="s">
        <v>86</v>
      </c>
      <c r="D21">
        <f>D20+26</f>
        <v>354</v>
      </c>
      <c r="I21" s="18"/>
    </row>
    <row r="22" spans="1:17" ht="14.25" customHeight="1" x14ac:dyDescent="0.2">
      <c r="A22" s="4" t="s">
        <v>0</v>
      </c>
      <c r="B22" s="5"/>
      <c r="C22" s="5"/>
      <c r="D22" s="5"/>
      <c r="E22" s="5"/>
      <c r="F22" s="5"/>
      <c r="G22" s="5"/>
      <c r="H22" s="6"/>
      <c r="I22" s="10" t="s">
        <v>82</v>
      </c>
      <c r="J22" s="12" t="s">
        <v>1</v>
      </c>
      <c r="K22" s="13"/>
      <c r="L22" s="13"/>
      <c r="M22" s="13"/>
      <c r="N22" s="13"/>
      <c r="O22" s="13"/>
      <c r="P22" s="13"/>
      <c r="Q22" s="14"/>
    </row>
    <row r="23" spans="1:17" ht="14.25" customHeight="1" x14ac:dyDescent="0.2">
      <c r="A23" s="7"/>
      <c r="B23" s="8"/>
      <c r="C23" s="8"/>
      <c r="D23" s="8"/>
      <c r="E23" s="8"/>
      <c r="F23" s="8"/>
      <c r="G23" s="8"/>
      <c r="H23" s="9"/>
      <c r="I23" s="19"/>
      <c r="J23" s="15"/>
      <c r="K23" s="16"/>
      <c r="L23" s="16"/>
      <c r="M23" s="16"/>
      <c r="N23" s="16"/>
      <c r="O23" s="16"/>
      <c r="P23" s="16"/>
      <c r="Q23" s="17"/>
    </row>
    <row r="24" spans="1:17" ht="14.25" customHeight="1" x14ac:dyDescent="0.2">
      <c r="B24" t="s">
        <v>24</v>
      </c>
      <c r="C24" t="s">
        <v>2</v>
      </c>
      <c r="D24">
        <f>D21+46</f>
        <v>400</v>
      </c>
      <c r="F24" t="s">
        <v>3</v>
      </c>
      <c r="I24" s="19"/>
      <c r="K24" t="s">
        <v>14</v>
      </c>
      <c r="L24" t="s">
        <v>2</v>
      </c>
      <c r="M24">
        <f>M20+96</f>
        <v>400</v>
      </c>
      <c r="O24" t="s">
        <v>15</v>
      </c>
    </row>
    <row r="25" spans="1:17" ht="14.25" customHeight="1" x14ac:dyDescent="0.2">
      <c r="B25" t="s">
        <v>88</v>
      </c>
      <c r="D25">
        <f>D24+2</f>
        <v>402</v>
      </c>
      <c r="I25" s="19"/>
      <c r="K25" t="s">
        <v>16</v>
      </c>
      <c r="L25" t="s">
        <v>17</v>
      </c>
      <c r="M25">
        <f>M24+2</f>
        <v>402</v>
      </c>
      <c r="O25" t="s">
        <v>18</v>
      </c>
    </row>
    <row r="26" spans="1:17" ht="14.25" customHeight="1" x14ac:dyDescent="0.2">
      <c r="I26" s="19"/>
      <c r="K26" t="s">
        <v>78</v>
      </c>
      <c r="L26" t="s">
        <v>4</v>
      </c>
      <c r="M26">
        <f>M25+2</f>
        <v>404</v>
      </c>
      <c r="O26" t="s">
        <v>83</v>
      </c>
    </row>
    <row r="27" spans="1:17" ht="14.25" customHeight="1" x14ac:dyDescent="0.2">
      <c r="I27" s="18"/>
      <c r="K27" t="s">
        <v>90</v>
      </c>
      <c r="M27">
        <f>M26+26</f>
        <v>430</v>
      </c>
    </row>
    <row r="28" spans="1:17" ht="14.25" customHeight="1" x14ac:dyDescent="0.2">
      <c r="A28" s="4" t="s">
        <v>0</v>
      </c>
      <c r="B28" s="5"/>
      <c r="C28" s="5"/>
      <c r="D28" s="5"/>
      <c r="E28" s="5"/>
      <c r="F28" s="5"/>
      <c r="G28" s="5"/>
      <c r="H28" s="6"/>
      <c r="I28" s="20" t="s">
        <v>59</v>
      </c>
      <c r="J28" s="12" t="s">
        <v>1</v>
      </c>
      <c r="K28" s="13"/>
      <c r="L28" s="13"/>
      <c r="M28" s="13"/>
      <c r="N28" s="13"/>
      <c r="O28" s="13"/>
      <c r="P28" s="13"/>
      <c r="Q28" s="14"/>
    </row>
    <row r="29" spans="1:17" ht="14.25" customHeight="1" x14ac:dyDescent="0.2">
      <c r="A29" s="7"/>
      <c r="B29" s="8"/>
      <c r="C29" s="8"/>
      <c r="D29" s="8"/>
      <c r="E29" s="8"/>
      <c r="F29" s="8"/>
      <c r="G29" s="8"/>
      <c r="H29" s="9"/>
      <c r="I29" s="21"/>
      <c r="J29" s="15"/>
      <c r="K29" s="16"/>
      <c r="L29" s="16"/>
      <c r="M29" s="16"/>
      <c r="N29" s="16"/>
      <c r="O29" s="16"/>
      <c r="P29" s="16"/>
      <c r="Q29" s="17"/>
    </row>
    <row r="30" spans="1:17" ht="14.25" customHeight="1" x14ac:dyDescent="0.2">
      <c r="B30" t="s">
        <v>24</v>
      </c>
      <c r="C30" t="s">
        <v>2</v>
      </c>
      <c r="D30">
        <f>D25+98</f>
        <v>500</v>
      </c>
      <c r="F30" t="s">
        <v>3</v>
      </c>
      <c r="I30" s="21"/>
      <c r="K30" t="s">
        <v>14</v>
      </c>
      <c r="L30" t="s">
        <v>2</v>
      </c>
      <c r="M30">
        <f>M27+70</f>
        <v>500</v>
      </c>
      <c r="O30" t="s">
        <v>15</v>
      </c>
    </row>
    <row r="31" spans="1:17" ht="14.25" customHeight="1" x14ac:dyDescent="0.2">
      <c r="B31" t="s">
        <v>27</v>
      </c>
      <c r="C31" t="s">
        <v>19</v>
      </c>
      <c r="D31">
        <f>D30+2</f>
        <v>502</v>
      </c>
      <c r="F31" t="s">
        <v>33</v>
      </c>
      <c r="I31" s="21"/>
      <c r="K31" t="s">
        <v>16</v>
      </c>
      <c r="L31" t="s">
        <v>17</v>
      </c>
      <c r="M31">
        <f>M30+2</f>
        <v>502</v>
      </c>
      <c r="O31" t="s">
        <v>18</v>
      </c>
    </row>
    <row r="32" spans="1:17" ht="14.25" customHeight="1" x14ac:dyDescent="0.2">
      <c r="B32" t="s">
        <v>28</v>
      </c>
      <c r="C32" t="s">
        <v>19</v>
      </c>
      <c r="D32">
        <f>D31+4</f>
        <v>506</v>
      </c>
      <c r="F32" t="s">
        <v>34</v>
      </c>
      <c r="I32" s="21"/>
      <c r="K32" t="s">
        <v>87</v>
      </c>
      <c r="M32">
        <f>M31+2</f>
        <v>504</v>
      </c>
    </row>
    <row r="33" spans="1:17" ht="14.25" customHeight="1" x14ac:dyDescent="0.2">
      <c r="B33" t="s">
        <v>29</v>
      </c>
      <c r="C33" t="s">
        <v>19</v>
      </c>
      <c r="D33">
        <f t="shared" ref="D33:D40" si="0">D32+4</f>
        <v>510</v>
      </c>
      <c r="F33" t="s">
        <v>35</v>
      </c>
      <c r="I33" s="21"/>
    </row>
    <row r="34" spans="1:17" ht="14.25" customHeight="1" x14ac:dyDescent="0.2">
      <c r="B34" t="s">
        <v>30</v>
      </c>
      <c r="C34" t="s">
        <v>19</v>
      </c>
      <c r="D34">
        <f t="shared" si="0"/>
        <v>514</v>
      </c>
      <c r="F34" t="s">
        <v>36</v>
      </c>
      <c r="I34" s="21"/>
    </row>
    <row r="35" spans="1:17" ht="14.25" customHeight="1" x14ac:dyDescent="0.2">
      <c r="B35" t="s">
        <v>31</v>
      </c>
      <c r="C35" t="s">
        <v>19</v>
      </c>
      <c r="D35">
        <f t="shared" si="0"/>
        <v>518</v>
      </c>
      <c r="F35" t="s">
        <v>37</v>
      </c>
      <c r="I35" s="21"/>
    </row>
    <row r="36" spans="1:17" ht="14.25" customHeight="1" x14ac:dyDescent="0.2">
      <c r="B36" t="s">
        <v>32</v>
      </c>
      <c r="C36" t="s">
        <v>19</v>
      </c>
      <c r="D36">
        <f t="shared" si="0"/>
        <v>522</v>
      </c>
      <c r="F36" t="s">
        <v>38</v>
      </c>
      <c r="I36" s="21"/>
    </row>
    <row r="37" spans="1:17" ht="14.25" customHeight="1" x14ac:dyDescent="0.2">
      <c r="B37" t="s">
        <v>41</v>
      </c>
      <c r="C37" t="s">
        <v>19</v>
      </c>
      <c r="D37">
        <f t="shared" si="0"/>
        <v>526</v>
      </c>
      <c r="F37" t="s">
        <v>45</v>
      </c>
      <c r="I37" s="21"/>
    </row>
    <row r="38" spans="1:17" ht="14.25" customHeight="1" x14ac:dyDescent="0.2">
      <c r="B38" t="s">
        <v>42</v>
      </c>
      <c r="C38" t="s">
        <v>19</v>
      </c>
      <c r="D38">
        <f t="shared" si="0"/>
        <v>530</v>
      </c>
      <c r="F38" t="s">
        <v>46</v>
      </c>
      <c r="I38" s="21"/>
    </row>
    <row r="39" spans="1:17" ht="14.25" customHeight="1" x14ac:dyDescent="0.2">
      <c r="B39" t="s">
        <v>43</v>
      </c>
      <c r="C39" t="s">
        <v>19</v>
      </c>
      <c r="D39">
        <f t="shared" si="0"/>
        <v>534</v>
      </c>
      <c r="F39" t="s">
        <v>47</v>
      </c>
      <c r="I39" s="21"/>
    </row>
    <row r="40" spans="1:17" ht="14.25" customHeight="1" x14ac:dyDescent="0.2">
      <c r="B40" t="s">
        <v>44</v>
      </c>
      <c r="C40" t="s">
        <v>19</v>
      </c>
      <c r="D40">
        <f t="shared" si="0"/>
        <v>538</v>
      </c>
      <c r="F40" t="s">
        <v>48</v>
      </c>
      <c r="I40" s="21"/>
    </row>
    <row r="41" spans="1:17" ht="25.5" customHeight="1" x14ac:dyDescent="0.2">
      <c r="B41" t="s">
        <v>89</v>
      </c>
      <c r="D41">
        <f>D40+4</f>
        <v>542</v>
      </c>
      <c r="I41" s="22"/>
    </row>
    <row r="42" spans="1:17" ht="14.25" customHeight="1" x14ac:dyDescent="0.2">
      <c r="A42" s="4" t="s">
        <v>0</v>
      </c>
      <c r="B42" s="5"/>
      <c r="C42" s="5"/>
      <c r="D42" s="5"/>
      <c r="E42" s="5"/>
      <c r="F42" s="5"/>
      <c r="G42" s="5"/>
      <c r="H42" s="6"/>
      <c r="I42" s="10" t="s">
        <v>62</v>
      </c>
      <c r="J42" s="12" t="s">
        <v>1</v>
      </c>
      <c r="K42" s="13"/>
      <c r="L42" s="13"/>
      <c r="M42" s="13"/>
      <c r="N42" s="13"/>
      <c r="O42" s="13"/>
      <c r="P42" s="13"/>
      <c r="Q42" s="14"/>
    </row>
    <row r="43" spans="1:17" ht="14.25" customHeight="1" x14ac:dyDescent="0.2">
      <c r="A43" s="7"/>
      <c r="B43" s="8"/>
      <c r="C43" s="8"/>
      <c r="D43" s="8"/>
      <c r="E43" s="8"/>
      <c r="F43" s="8"/>
      <c r="G43" s="8"/>
      <c r="H43" s="9"/>
      <c r="I43" s="19"/>
      <c r="J43" s="15"/>
      <c r="K43" s="16"/>
      <c r="L43" s="16"/>
      <c r="M43" s="16"/>
      <c r="N43" s="16"/>
      <c r="O43" s="16"/>
      <c r="P43" s="16"/>
      <c r="Q43" s="17"/>
    </row>
    <row r="44" spans="1:17" ht="14.25" customHeight="1" x14ac:dyDescent="0.2">
      <c r="B44" t="s">
        <v>24</v>
      </c>
      <c r="C44" t="s">
        <v>2</v>
      </c>
      <c r="D44">
        <f>D41+58</f>
        <v>600</v>
      </c>
      <c r="F44" t="s">
        <v>3</v>
      </c>
      <c r="I44" s="19"/>
      <c r="K44" t="s">
        <v>14</v>
      </c>
      <c r="L44" t="s">
        <v>2</v>
      </c>
      <c r="M44">
        <f>M32+96</f>
        <v>600</v>
      </c>
      <c r="O44" t="s">
        <v>15</v>
      </c>
    </row>
    <row r="45" spans="1:17" ht="14.25" customHeight="1" x14ac:dyDescent="0.2">
      <c r="B45" t="s">
        <v>5</v>
      </c>
      <c r="C45" t="s">
        <v>79</v>
      </c>
      <c r="D45">
        <f>D44+2</f>
        <v>602</v>
      </c>
      <c r="F45" t="s">
        <v>80</v>
      </c>
      <c r="I45" s="19"/>
      <c r="K45" t="s">
        <v>16</v>
      </c>
      <c r="L45" t="s">
        <v>17</v>
      </c>
      <c r="M45">
        <f>M44+2</f>
        <v>602</v>
      </c>
      <c r="O45" t="s">
        <v>18</v>
      </c>
    </row>
    <row r="46" spans="1:17" ht="14.25" customHeight="1" x14ac:dyDescent="0.2">
      <c r="B46" t="s">
        <v>25</v>
      </c>
      <c r="C46" t="s">
        <v>26</v>
      </c>
      <c r="D46">
        <f>D45+26</f>
        <v>628</v>
      </c>
      <c r="F46" t="s">
        <v>55</v>
      </c>
      <c r="I46" s="19"/>
      <c r="K46" t="s">
        <v>93</v>
      </c>
      <c r="M46">
        <f>M45+2</f>
        <v>604</v>
      </c>
    </row>
    <row r="47" spans="1:17" ht="14.25" customHeight="1" x14ac:dyDescent="0.2">
      <c r="B47" t="s">
        <v>63</v>
      </c>
      <c r="C47" t="s">
        <v>19</v>
      </c>
      <c r="D47">
        <f>D46+12</f>
        <v>640</v>
      </c>
      <c r="F47" t="s">
        <v>49</v>
      </c>
      <c r="I47" s="19"/>
    </row>
    <row r="48" spans="1:17" ht="14.25" customHeight="1" x14ac:dyDescent="0.2">
      <c r="B48" t="s">
        <v>64</v>
      </c>
      <c r="C48" t="s">
        <v>19</v>
      </c>
      <c r="D48">
        <f>D47+4</f>
        <v>644</v>
      </c>
      <c r="F48" t="s">
        <v>50</v>
      </c>
      <c r="I48" s="19"/>
    </row>
    <row r="49" spans="1:17" ht="14.25" customHeight="1" x14ac:dyDescent="0.2">
      <c r="B49" t="s">
        <v>65</v>
      </c>
      <c r="C49" t="s">
        <v>19</v>
      </c>
      <c r="D49">
        <f t="shared" ref="D49:D56" si="1">D48+4</f>
        <v>648</v>
      </c>
      <c r="F49" t="s">
        <v>51</v>
      </c>
      <c r="I49" s="19"/>
    </row>
    <row r="50" spans="1:17" ht="14.25" customHeight="1" x14ac:dyDescent="0.2">
      <c r="B50" t="s">
        <v>66</v>
      </c>
      <c r="C50" t="s">
        <v>19</v>
      </c>
      <c r="D50">
        <f t="shared" si="1"/>
        <v>652</v>
      </c>
      <c r="F50" t="s">
        <v>52</v>
      </c>
      <c r="I50" s="19"/>
    </row>
    <row r="51" spans="1:17" ht="14.25" customHeight="1" x14ac:dyDescent="0.2">
      <c r="B51" t="s">
        <v>67</v>
      </c>
      <c r="C51" t="s">
        <v>19</v>
      </c>
      <c r="D51">
        <f t="shared" si="1"/>
        <v>656</v>
      </c>
      <c r="F51" t="s">
        <v>53</v>
      </c>
      <c r="I51" s="19"/>
    </row>
    <row r="52" spans="1:17" ht="14.25" customHeight="1" x14ac:dyDescent="0.2">
      <c r="B52" t="s">
        <v>68</v>
      </c>
      <c r="C52" t="s">
        <v>19</v>
      </c>
      <c r="D52">
        <f t="shared" si="1"/>
        <v>660</v>
      </c>
      <c r="F52" t="s">
        <v>54</v>
      </c>
      <c r="I52" s="19"/>
    </row>
    <row r="53" spans="1:17" ht="14.25" customHeight="1" x14ac:dyDescent="0.2">
      <c r="B53" t="s">
        <v>69</v>
      </c>
      <c r="C53" t="s">
        <v>19</v>
      </c>
      <c r="D53">
        <f t="shared" si="1"/>
        <v>664</v>
      </c>
      <c r="F53" t="s">
        <v>56</v>
      </c>
      <c r="I53" s="19"/>
    </row>
    <row r="54" spans="1:17" ht="14.25" customHeight="1" x14ac:dyDescent="0.2">
      <c r="B54" t="s">
        <v>70</v>
      </c>
      <c r="C54" t="s">
        <v>19</v>
      </c>
      <c r="D54">
        <f t="shared" si="1"/>
        <v>668</v>
      </c>
      <c r="F54" t="s">
        <v>57</v>
      </c>
      <c r="I54" s="19"/>
    </row>
    <row r="55" spans="1:17" ht="14.25" customHeight="1" x14ac:dyDescent="0.2">
      <c r="B55" t="s">
        <v>71</v>
      </c>
      <c r="C55" t="s">
        <v>19</v>
      </c>
      <c r="D55">
        <f t="shared" si="1"/>
        <v>672</v>
      </c>
      <c r="F55" t="s">
        <v>84</v>
      </c>
      <c r="I55" s="19"/>
    </row>
    <row r="56" spans="1:17" ht="14.25" customHeight="1" x14ac:dyDescent="0.2">
      <c r="B56" t="s">
        <v>72</v>
      </c>
      <c r="C56" t="s">
        <v>19</v>
      </c>
      <c r="D56">
        <f t="shared" si="1"/>
        <v>676</v>
      </c>
      <c r="F56" t="s">
        <v>58</v>
      </c>
      <c r="I56" s="19"/>
    </row>
    <row r="57" spans="1:17" x14ac:dyDescent="0.2">
      <c r="B57" t="s">
        <v>91</v>
      </c>
      <c r="D57">
        <f>D56+4</f>
        <v>680</v>
      </c>
      <c r="I57" s="18"/>
    </row>
    <row r="58" spans="1:17" ht="14.25" customHeight="1" x14ac:dyDescent="0.2">
      <c r="A58" s="4" t="s">
        <v>0</v>
      </c>
      <c r="B58" s="5"/>
      <c r="C58" s="5"/>
      <c r="D58" s="5"/>
      <c r="E58" s="5"/>
      <c r="F58" s="5"/>
      <c r="G58" s="5"/>
      <c r="H58" s="6"/>
      <c r="I58" s="10" t="s">
        <v>97</v>
      </c>
      <c r="J58" s="12" t="s">
        <v>1</v>
      </c>
      <c r="K58" s="13"/>
      <c r="L58" s="13"/>
      <c r="M58" s="13"/>
      <c r="N58" s="13"/>
      <c r="O58" s="13"/>
      <c r="P58" s="13"/>
      <c r="Q58" s="14"/>
    </row>
    <row r="59" spans="1:17" ht="14.25" customHeight="1" x14ac:dyDescent="0.2">
      <c r="A59" s="7"/>
      <c r="B59" s="8"/>
      <c r="C59" s="8"/>
      <c r="D59" s="8"/>
      <c r="E59" s="8"/>
      <c r="F59" s="8"/>
      <c r="G59" s="8"/>
      <c r="H59" s="9"/>
      <c r="I59" s="11"/>
      <c r="J59" s="15"/>
      <c r="K59" s="16"/>
      <c r="L59" s="16"/>
      <c r="M59" s="16"/>
      <c r="N59" s="16"/>
      <c r="O59" s="16"/>
      <c r="P59" s="16"/>
      <c r="Q59" s="17"/>
    </row>
    <row r="60" spans="1:17" ht="14.25" customHeight="1" x14ac:dyDescent="0.2">
      <c r="B60" t="s">
        <v>24</v>
      </c>
      <c r="C60" t="s">
        <v>2</v>
      </c>
      <c r="D60">
        <f>D57+120</f>
        <v>800</v>
      </c>
      <c r="F60" t="s">
        <v>3</v>
      </c>
      <c r="I60" s="11"/>
      <c r="K60" t="s">
        <v>14</v>
      </c>
      <c r="L60" t="s">
        <v>2</v>
      </c>
      <c r="M60">
        <f>M46+196</f>
        <v>800</v>
      </c>
      <c r="O60" t="s">
        <v>15</v>
      </c>
    </row>
    <row r="61" spans="1:17" ht="14.25" customHeight="1" x14ac:dyDescent="0.2">
      <c r="B61" t="s">
        <v>5</v>
      </c>
      <c r="C61" t="s">
        <v>79</v>
      </c>
      <c r="D61">
        <f>D60+2</f>
        <v>802</v>
      </c>
      <c r="F61" t="s">
        <v>80</v>
      </c>
      <c r="I61" s="11"/>
      <c r="K61" t="s">
        <v>16</v>
      </c>
      <c r="L61" t="s">
        <v>17</v>
      </c>
      <c r="M61">
        <f>M60+2</f>
        <v>802</v>
      </c>
      <c r="O61" t="s">
        <v>18</v>
      </c>
    </row>
    <row r="62" spans="1:17" ht="14.25" customHeight="1" x14ac:dyDescent="0.2">
      <c r="I62" s="11"/>
      <c r="K62" t="s">
        <v>96</v>
      </c>
      <c r="L62" t="s">
        <v>26</v>
      </c>
      <c r="M62">
        <f>M61+2</f>
        <v>804</v>
      </c>
    </row>
    <row r="63" spans="1:17" ht="14.25" customHeight="1" x14ac:dyDescent="0.2">
      <c r="I63" s="11"/>
    </row>
    <row r="64" spans="1:17" ht="14.25" customHeight="1" x14ac:dyDescent="0.2">
      <c r="I64" s="11"/>
    </row>
    <row r="65" spans="9:9" ht="14.25" customHeight="1" x14ac:dyDescent="0.2">
      <c r="I65" s="11"/>
    </row>
    <row r="66" spans="9:9" ht="14.25" customHeight="1" x14ac:dyDescent="0.2">
      <c r="I66" s="11"/>
    </row>
    <row r="67" spans="9:9" ht="14.25" customHeight="1" x14ac:dyDescent="0.2">
      <c r="I67" s="11"/>
    </row>
    <row r="68" spans="9:9" ht="14.25" customHeight="1" x14ac:dyDescent="0.2">
      <c r="I68" s="11"/>
    </row>
    <row r="69" spans="9:9" ht="14.25" customHeight="1" x14ac:dyDescent="0.2">
      <c r="I69" s="11"/>
    </row>
    <row r="70" spans="9:9" ht="14.25" customHeight="1" x14ac:dyDescent="0.2">
      <c r="I70" s="11"/>
    </row>
    <row r="71" spans="9:9" ht="14.25" customHeight="1" x14ac:dyDescent="0.2">
      <c r="I71" s="11"/>
    </row>
    <row r="72" spans="9:9" ht="14.25" customHeight="1" x14ac:dyDescent="0.2">
      <c r="I72" s="18"/>
    </row>
  </sheetData>
  <mergeCells count="24">
    <mergeCell ref="J42:Q43"/>
    <mergeCell ref="A58:H59"/>
    <mergeCell ref="I58:I72"/>
    <mergeCell ref="J58:Q59"/>
    <mergeCell ref="I5:I9"/>
    <mergeCell ref="A10:H11"/>
    <mergeCell ref="I10:I15"/>
    <mergeCell ref="J10:Q11"/>
    <mergeCell ref="A16:H17"/>
    <mergeCell ref="I16:I21"/>
    <mergeCell ref="J16:Q17"/>
    <mergeCell ref="A2:H3"/>
    <mergeCell ref="I2:I4"/>
    <mergeCell ref="J2:Q3"/>
    <mergeCell ref="A5:H6"/>
    <mergeCell ref="J5:Q6"/>
    <mergeCell ref="A22:H23"/>
    <mergeCell ref="I22:I27"/>
    <mergeCell ref="J22:Q23"/>
    <mergeCell ref="A28:H29"/>
    <mergeCell ref="I28:I41"/>
    <mergeCell ref="J28:Q29"/>
    <mergeCell ref="A42:H43"/>
    <mergeCell ref="I42:I5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0D44D-FC7A-417F-8CE3-75B70BF598FC}">
  <dimension ref="A1:Q57"/>
  <sheetViews>
    <sheetView workbookViewId="0">
      <selection activeCell="H64" sqref="H64"/>
    </sheetView>
  </sheetViews>
  <sheetFormatPr defaultRowHeight="14.25" x14ac:dyDescent="0.2"/>
  <cols>
    <col min="1" max="1" width="6.5" bestFit="1" customWidth="1"/>
    <col min="2" max="2" width="14.625" bestFit="1" customWidth="1"/>
    <col min="3" max="3" width="22.25" bestFit="1" customWidth="1"/>
    <col min="4" max="4" width="11.375" bestFit="1" customWidth="1"/>
    <col min="5" max="5" width="4.125" bestFit="1" customWidth="1"/>
    <col min="6" max="6" width="42.125" bestFit="1" customWidth="1"/>
    <col min="7" max="8" width="6.5" bestFit="1" customWidth="1"/>
    <col min="9" max="9" width="34.75" bestFit="1" customWidth="1"/>
    <col min="10" max="10" width="6.5" bestFit="1" customWidth="1"/>
    <col min="11" max="11" width="13.125" bestFit="1" customWidth="1"/>
    <col min="12" max="12" width="19" bestFit="1" customWidth="1"/>
    <col min="13" max="13" width="11.375" bestFit="1" customWidth="1"/>
    <col min="14" max="14" width="4.125" bestFit="1" customWidth="1"/>
    <col min="15" max="15" width="37.125" bestFit="1" customWidth="1"/>
    <col min="16" max="17" width="6.5" bestFit="1" customWidth="1"/>
  </cols>
  <sheetData>
    <row r="1" spans="1:17" ht="18" x14ac:dyDescent="0.2">
      <c r="A1" s="1" t="s">
        <v>6</v>
      </c>
      <c r="B1" s="1" t="s">
        <v>7</v>
      </c>
      <c r="C1" s="1" t="s">
        <v>8</v>
      </c>
      <c r="D1" s="1" t="s">
        <v>10</v>
      </c>
      <c r="E1" s="1" t="s">
        <v>12</v>
      </c>
      <c r="F1" s="1" t="s">
        <v>13</v>
      </c>
      <c r="G1" s="1" t="s">
        <v>11</v>
      </c>
      <c r="H1" s="1" t="s">
        <v>9</v>
      </c>
      <c r="I1" s="2" t="s">
        <v>20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12</v>
      </c>
      <c r="O1" s="3" t="s">
        <v>13</v>
      </c>
      <c r="P1" s="3" t="s">
        <v>11</v>
      </c>
      <c r="Q1" s="3" t="s">
        <v>9</v>
      </c>
    </row>
    <row r="2" spans="1:17" ht="14.25" customHeight="1" x14ac:dyDescent="0.2">
      <c r="A2" s="4" t="s">
        <v>0</v>
      </c>
      <c r="B2" s="5"/>
      <c r="C2" s="5"/>
      <c r="D2" s="5"/>
      <c r="E2" s="5"/>
      <c r="F2" s="5"/>
      <c r="G2" s="5"/>
      <c r="H2" s="6"/>
      <c r="I2" s="10" t="s">
        <v>21</v>
      </c>
      <c r="J2" s="12" t="s">
        <v>1</v>
      </c>
      <c r="K2" s="13"/>
      <c r="L2" s="13"/>
      <c r="M2" s="13"/>
      <c r="N2" s="13"/>
      <c r="O2" s="13"/>
      <c r="P2" s="13"/>
      <c r="Q2" s="14"/>
    </row>
    <row r="3" spans="1:17" ht="14.25" customHeight="1" x14ac:dyDescent="0.2">
      <c r="A3" s="7"/>
      <c r="B3" s="8"/>
      <c r="C3" s="8"/>
      <c r="D3" s="8"/>
      <c r="E3" s="8"/>
      <c r="F3" s="8"/>
      <c r="G3" s="8"/>
      <c r="H3" s="9"/>
      <c r="I3" s="11"/>
      <c r="J3" s="15"/>
      <c r="K3" s="16"/>
      <c r="L3" s="16"/>
      <c r="M3" s="16"/>
      <c r="N3" s="16"/>
      <c r="O3" s="16"/>
      <c r="P3" s="16"/>
      <c r="Q3" s="17"/>
    </row>
    <row r="4" spans="1:17" ht="14.25" customHeight="1" x14ac:dyDescent="0.2">
      <c r="H4">
        <v>200</v>
      </c>
      <c r="I4" s="11"/>
      <c r="K4" t="s">
        <v>22</v>
      </c>
      <c r="L4" t="s">
        <v>2</v>
      </c>
      <c r="M4">
        <v>0</v>
      </c>
      <c r="O4" t="s">
        <v>23</v>
      </c>
      <c r="Q4">
        <v>201</v>
      </c>
    </row>
    <row r="5" spans="1:17" ht="14.25" customHeight="1" x14ac:dyDescent="0.2">
      <c r="A5" s="4" t="s">
        <v>0</v>
      </c>
      <c r="B5" s="5"/>
      <c r="C5" s="5"/>
      <c r="D5" s="5"/>
      <c r="E5" s="5"/>
      <c r="F5" s="5"/>
      <c r="G5" s="5"/>
      <c r="H5" s="6"/>
      <c r="I5" s="10" t="s">
        <v>40</v>
      </c>
      <c r="J5" s="12" t="s">
        <v>1</v>
      </c>
      <c r="K5" s="13"/>
      <c r="L5" s="13"/>
      <c r="M5" s="13"/>
      <c r="N5" s="13"/>
      <c r="O5" s="13"/>
      <c r="P5" s="13"/>
      <c r="Q5" s="14"/>
    </row>
    <row r="6" spans="1:17" ht="14.25" customHeight="1" x14ac:dyDescent="0.2">
      <c r="A6" s="7"/>
      <c r="B6" s="8"/>
      <c r="C6" s="8"/>
      <c r="D6" s="8"/>
      <c r="E6" s="8"/>
      <c r="F6" s="8"/>
      <c r="G6" s="8"/>
      <c r="H6" s="9"/>
      <c r="I6" s="19"/>
      <c r="J6" s="15"/>
      <c r="K6" s="16"/>
      <c r="L6" s="16"/>
      <c r="M6" s="16"/>
      <c r="N6" s="16"/>
      <c r="O6" s="16"/>
      <c r="P6" s="16"/>
      <c r="Q6" s="17"/>
    </row>
    <row r="7" spans="1:17" ht="14.25" customHeight="1" x14ac:dyDescent="0.2">
      <c r="B7" t="s">
        <v>24</v>
      </c>
      <c r="C7" t="s">
        <v>2</v>
      </c>
      <c r="D7">
        <v>100</v>
      </c>
      <c r="F7" t="s">
        <v>73</v>
      </c>
      <c r="I7" s="19"/>
      <c r="K7" t="s">
        <v>14</v>
      </c>
      <c r="L7" t="s">
        <v>2</v>
      </c>
      <c r="M7">
        <v>100</v>
      </c>
      <c r="N7">
        <v>0</v>
      </c>
      <c r="O7" t="s">
        <v>74</v>
      </c>
    </row>
    <row r="8" spans="1:17" ht="14.25" customHeight="1" x14ac:dyDescent="0.2">
      <c r="B8" t="s">
        <v>5</v>
      </c>
      <c r="C8" t="s">
        <v>4</v>
      </c>
      <c r="D8">
        <f>D7+2</f>
        <v>102</v>
      </c>
      <c r="F8" t="s">
        <v>80</v>
      </c>
      <c r="I8" s="19"/>
      <c r="K8" t="s">
        <v>16</v>
      </c>
      <c r="L8" t="s">
        <v>17</v>
      </c>
      <c r="M8">
        <f>M7+2</f>
        <v>102</v>
      </c>
      <c r="O8" t="s">
        <v>75</v>
      </c>
    </row>
    <row r="9" spans="1:17" ht="14.25" customHeight="1" x14ac:dyDescent="0.2">
      <c r="B9" t="s">
        <v>85</v>
      </c>
      <c r="D9">
        <f>D8+26</f>
        <v>128</v>
      </c>
      <c r="I9" s="18"/>
      <c r="K9" t="s">
        <v>87</v>
      </c>
      <c r="M9">
        <f>M8+2</f>
        <v>104</v>
      </c>
    </row>
    <row r="10" spans="1:17" ht="14.25" customHeight="1" x14ac:dyDescent="0.2">
      <c r="A10" s="4" t="s">
        <v>0</v>
      </c>
      <c r="B10" s="5"/>
      <c r="C10" s="5"/>
      <c r="D10" s="5"/>
      <c r="E10" s="5"/>
      <c r="F10" s="5"/>
      <c r="G10" s="5"/>
      <c r="H10" s="6"/>
      <c r="I10" s="10" t="s">
        <v>76</v>
      </c>
      <c r="J10" s="12" t="s">
        <v>1</v>
      </c>
      <c r="K10" s="13"/>
      <c r="L10" s="13"/>
      <c r="M10" s="13"/>
      <c r="N10" s="13"/>
      <c r="O10" s="13"/>
      <c r="P10" s="13"/>
      <c r="Q10" s="14"/>
    </row>
    <row r="11" spans="1:17" ht="14.25" customHeight="1" x14ac:dyDescent="0.2">
      <c r="A11" s="7"/>
      <c r="B11" s="8"/>
      <c r="C11" s="8"/>
      <c r="D11" s="8"/>
      <c r="E11" s="8"/>
      <c r="F11" s="8"/>
      <c r="G11" s="8"/>
      <c r="H11" s="9"/>
      <c r="I11" s="19"/>
      <c r="J11" s="15"/>
      <c r="K11" s="16"/>
      <c r="L11" s="16"/>
      <c r="M11" s="16"/>
      <c r="N11" s="16"/>
      <c r="O11" s="16"/>
      <c r="P11" s="16"/>
      <c r="Q11" s="17"/>
    </row>
    <row r="12" spans="1:17" ht="14.25" customHeight="1" x14ac:dyDescent="0.2">
      <c r="B12" t="s">
        <v>24</v>
      </c>
      <c r="C12" t="s">
        <v>2</v>
      </c>
      <c r="D12">
        <f>D9+72</f>
        <v>200</v>
      </c>
      <c r="F12" t="s">
        <v>3</v>
      </c>
      <c r="I12" s="19"/>
      <c r="K12" t="s">
        <v>14</v>
      </c>
      <c r="L12" t="s">
        <v>2</v>
      </c>
      <c r="M12">
        <f>M9+96</f>
        <v>200</v>
      </c>
      <c r="O12" t="s">
        <v>15</v>
      </c>
    </row>
    <row r="13" spans="1:17" ht="14.25" customHeight="1" x14ac:dyDescent="0.2">
      <c r="B13" t="s">
        <v>5</v>
      </c>
      <c r="C13" t="s">
        <v>4</v>
      </c>
      <c r="D13">
        <f>D12+2</f>
        <v>202</v>
      </c>
      <c r="F13" t="s">
        <v>80</v>
      </c>
      <c r="I13" s="19"/>
      <c r="K13" t="s">
        <v>16</v>
      </c>
      <c r="L13" t="s">
        <v>17</v>
      </c>
      <c r="M13">
        <f>M12+2</f>
        <v>202</v>
      </c>
      <c r="O13" t="s">
        <v>18</v>
      </c>
    </row>
    <row r="14" spans="1:17" ht="14.25" customHeight="1" x14ac:dyDescent="0.2">
      <c r="B14" t="s">
        <v>78</v>
      </c>
      <c r="C14" t="s">
        <v>4</v>
      </c>
      <c r="D14">
        <f>D13+26</f>
        <v>228</v>
      </c>
      <c r="F14" t="s">
        <v>81</v>
      </c>
      <c r="I14" s="19"/>
      <c r="K14" t="s">
        <v>87</v>
      </c>
      <c r="M14">
        <f>M13+2</f>
        <v>204</v>
      </c>
    </row>
    <row r="15" spans="1:17" ht="14.25" customHeight="1" x14ac:dyDescent="0.2">
      <c r="B15" t="s">
        <v>86</v>
      </c>
      <c r="D15">
        <f>D14+26</f>
        <v>254</v>
      </c>
      <c r="I15" s="18"/>
    </row>
    <row r="16" spans="1:17" ht="14.25" customHeight="1" x14ac:dyDescent="0.2">
      <c r="A16" s="4" t="s">
        <v>0</v>
      </c>
      <c r="B16" s="5"/>
      <c r="C16" s="5"/>
      <c r="D16" s="5"/>
      <c r="E16" s="5"/>
      <c r="F16" s="5"/>
      <c r="G16" s="5"/>
      <c r="H16" s="6"/>
      <c r="I16" s="10" t="s">
        <v>60</v>
      </c>
      <c r="J16" s="12" t="s">
        <v>1</v>
      </c>
      <c r="K16" s="13"/>
      <c r="L16" s="13"/>
      <c r="M16" s="13"/>
      <c r="N16" s="13"/>
      <c r="O16" s="13"/>
      <c r="P16" s="13"/>
      <c r="Q16" s="14"/>
    </row>
    <row r="17" spans="1:17" ht="14.25" customHeight="1" x14ac:dyDescent="0.2">
      <c r="A17" s="7"/>
      <c r="B17" s="8"/>
      <c r="C17" s="8"/>
      <c r="D17" s="8"/>
      <c r="E17" s="8"/>
      <c r="F17" s="8"/>
      <c r="G17" s="8"/>
      <c r="H17" s="9"/>
      <c r="I17" s="19"/>
      <c r="J17" s="15"/>
      <c r="K17" s="16"/>
      <c r="L17" s="16"/>
      <c r="M17" s="16"/>
      <c r="N17" s="16"/>
      <c r="O17" s="16"/>
      <c r="P17" s="16"/>
      <c r="Q17" s="17"/>
    </row>
    <row r="18" spans="1:17" ht="14.25" customHeight="1" x14ac:dyDescent="0.2">
      <c r="B18" t="s">
        <v>24</v>
      </c>
      <c r="C18" t="s">
        <v>2</v>
      </c>
      <c r="D18">
        <f>D15+46</f>
        <v>300</v>
      </c>
      <c r="F18" t="s">
        <v>3</v>
      </c>
      <c r="I18" s="19"/>
      <c r="K18" t="s">
        <v>14</v>
      </c>
      <c r="L18" t="s">
        <v>2</v>
      </c>
      <c r="M18">
        <f>M14+96</f>
        <v>300</v>
      </c>
      <c r="O18" t="s">
        <v>15</v>
      </c>
    </row>
    <row r="19" spans="1:17" ht="14.25" customHeight="1" x14ac:dyDescent="0.2">
      <c r="B19" t="s">
        <v>5</v>
      </c>
      <c r="C19" t="s">
        <v>4</v>
      </c>
      <c r="D19">
        <f>D18+2</f>
        <v>302</v>
      </c>
      <c r="F19" t="s">
        <v>39</v>
      </c>
      <c r="I19" s="19"/>
      <c r="K19" t="s">
        <v>16</v>
      </c>
      <c r="L19" t="s">
        <v>17</v>
      </c>
      <c r="M19">
        <f>M18+2</f>
        <v>302</v>
      </c>
      <c r="O19" t="s">
        <v>18</v>
      </c>
    </row>
    <row r="20" spans="1:17" ht="14.25" customHeight="1" x14ac:dyDescent="0.2">
      <c r="B20" t="s">
        <v>77</v>
      </c>
      <c r="C20" t="s">
        <v>4</v>
      </c>
      <c r="D20">
        <f>D19+26</f>
        <v>328</v>
      </c>
      <c r="F20" t="s">
        <v>61</v>
      </c>
      <c r="I20" s="19"/>
      <c r="K20" t="s">
        <v>87</v>
      </c>
      <c r="M20">
        <f>M19+2</f>
        <v>304</v>
      </c>
    </row>
    <row r="21" spans="1:17" ht="14.25" customHeight="1" x14ac:dyDescent="0.2">
      <c r="B21" t="s">
        <v>86</v>
      </c>
      <c r="D21">
        <f>D20+26</f>
        <v>354</v>
      </c>
      <c r="I21" s="18"/>
    </row>
    <row r="22" spans="1:17" ht="14.25" customHeight="1" x14ac:dyDescent="0.2">
      <c r="A22" s="4" t="s">
        <v>0</v>
      </c>
      <c r="B22" s="5"/>
      <c r="C22" s="5"/>
      <c r="D22" s="5"/>
      <c r="E22" s="5"/>
      <c r="F22" s="5"/>
      <c r="G22" s="5"/>
      <c r="H22" s="6"/>
      <c r="I22" s="10" t="s">
        <v>82</v>
      </c>
      <c r="J22" s="12" t="s">
        <v>1</v>
      </c>
      <c r="K22" s="13"/>
      <c r="L22" s="13"/>
      <c r="M22" s="13"/>
      <c r="N22" s="13"/>
      <c r="O22" s="13"/>
      <c r="P22" s="13"/>
      <c r="Q22" s="14"/>
    </row>
    <row r="23" spans="1:17" ht="14.25" customHeight="1" x14ac:dyDescent="0.2">
      <c r="A23" s="7"/>
      <c r="B23" s="8"/>
      <c r="C23" s="8"/>
      <c r="D23" s="8"/>
      <c r="E23" s="8"/>
      <c r="F23" s="8"/>
      <c r="G23" s="8"/>
      <c r="H23" s="9"/>
      <c r="I23" s="19"/>
      <c r="J23" s="15"/>
      <c r="K23" s="16"/>
      <c r="L23" s="16"/>
      <c r="M23" s="16"/>
      <c r="N23" s="16"/>
      <c r="O23" s="16"/>
      <c r="P23" s="16"/>
      <c r="Q23" s="17"/>
    </row>
    <row r="24" spans="1:17" ht="14.25" customHeight="1" x14ac:dyDescent="0.2">
      <c r="B24" t="s">
        <v>24</v>
      </c>
      <c r="C24" t="s">
        <v>2</v>
      </c>
      <c r="D24">
        <f>D21+46</f>
        <v>400</v>
      </c>
      <c r="F24" t="s">
        <v>3</v>
      </c>
      <c r="I24" s="19"/>
      <c r="K24" t="s">
        <v>14</v>
      </c>
      <c r="L24" t="s">
        <v>2</v>
      </c>
      <c r="M24">
        <f>M20+96</f>
        <v>400</v>
      </c>
      <c r="O24" t="s">
        <v>15</v>
      </c>
    </row>
    <row r="25" spans="1:17" ht="14.25" customHeight="1" x14ac:dyDescent="0.2">
      <c r="B25" t="s">
        <v>88</v>
      </c>
      <c r="D25">
        <f>D24+2</f>
        <v>402</v>
      </c>
      <c r="I25" s="19"/>
      <c r="K25" t="s">
        <v>16</v>
      </c>
      <c r="L25" t="s">
        <v>17</v>
      </c>
      <c r="M25">
        <f>M24+2</f>
        <v>402</v>
      </c>
      <c r="O25" t="s">
        <v>18</v>
      </c>
    </row>
    <row r="26" spans="1:17" ht="14.25" customHeight="1" x14ac:dyDescent="0.2">
      <c r="I26" s="19"/>
      <c r="K26" t="s">
        <v>78</v>
      </c>
      <c r="L26" t="s">
        <v>4</v>
      </c>
      <c r="M26">
        <f>M25+2</f>
        <v>404</v>
      </c>
      <c r="O26" t="s">
        <v>83</v>
      </c>
    </row>
    <row r="27" spans="1:17" ht="14.25" customHeight="1" x14ac:dyDescent="0.2">
      <c r="I27" s="18"/>
      <c r="K27" t="s">
        <v>90</v>
      </c>
      <c r="M27">
        <f>M26+26</f>
        <v>430</v>
      </c>
    </row>
    <row r="28" spans="1:17" ht="14.25" customHeight="1" x14ac:dyDescent="0.2">
      <c r="A28" s="4" t="s">
        <v>0</v>
      </c>
      <c r="B28" s="5"/>
      <c r="C28" s="5"/>
      <c r="D28" s="5"/>
      <c r="E28" s="5"/>
      <c r="F28" s="5"/>
      <c r="G28" s="5"/>
      <c r="H28" s="6"/>
      <c r="I28" s="20" t="s">
        <v>59</v>
      </c>
      <c r="J28" s="12" t="s">
        <v>1</v>
      </c>
      <c r="K28" s="13"/>
      <c r="L28" s="13"/>
      <c r="M28" s="13"/>
      <c r="N28" s="13"/>
      <c r="O28" s="13"/>
      <c r="P28" s="13"/>
      <c r="Q28" s="14"/>
    </row>
    <row r="29" spans="1:17" ht="14.25" customHeight="1" x14ac:dyDescent="0.2">
      <c r="A29" s="7"/>
      <c r="B29" s="8"/>
      <c r="C29" s="8"/>
      <c r="D29" s="8"/>
      <c r="E29" s="8"/>
      <c r="F29" s="8"/>
      <c r="G29" s="8"/>
      <c r="H29" s="9"/>
      <c r="I29" s="21"/>
      <c r="J29" s="15"/>
      <c r="K29" s="16"/>
      <c r="L29" s="16"/>
      <c r="M29" s="16"/>
      <c r="N29" s="16"/>
      <c r="O29" s="16"/>
      <c r="P29" s="16"/>
      <c r="Q29" s="17"/>
    </row>
    <row r="30" spans="1:17" ht="14.25" customHeight="1" x14ac:dyDescent="0.2">
      <c r="B30" t="s">
        <v>24</v>
      </c>
      <c r="C30" t="s">
        <v>2</v>
      </c>
      <c r="D30">
        <f>D25+98</f>
        <v>500</v>
      </c>
      <c r="F30" t="s">
        <v>3</v>
      </c>
      <c r="I30" s="21"/>
      <c r="K30" t="s">
        <v>14</v>
      </c>
      <c r="L30" t="s">
        <v>2</v>
      </c>
      <c r="M30">
        <f>M27+70</f>
        <v>500</v>
      </c>
      <c r="O30" t="s">
        <v>15</v>
      </c>
    </row>
    <row r="31" spans="1:17" ht="14.25" customHeight="1" x14ac:dyDescent="0.2">
      <c r="B31" t="s">
        <v>27</v>
      </c>
      <c r="C31" t="s">
        <v>19</v>
      </c>
      <c r="D31">
        <f>D30+2</f>
        <v>502</v>
      </c>
      <c r="F31" t="s">
        <v>33</v>
      </c>
      <c r="I31" s="21"/>
      <c r="K31" t="s">
        <v>16</v>
      </c>
      <c r="L31" t="s">
        <v>17</v>
      </c>
      <c r="M31">
        <f>M30+2</f>
        <v>502</v>
      </c>
      <c r="O31" t="s">
        <v>18</v>
      </c>
    </row>
    <row r="32" spans="1:17" ht="14.25" customHeight="1" x14ac:dyDescent="0.2">
      <c r="B32" t="s">
        <v>28</v>
      </c>
      <c r="C32" t="s">
        <v>19</v>
      </c>
      <c r="D32">
        <f>D31+4</f>
        <v>506</v>
      </c>
      <c r="F32" t="s">
        <v>34</v>
      </c>
      <c r="I32" s="21"/>
      <c r="K32" t="s">
        <v>87</v>
      </c>
      <c r="M32">
        <f>M31+2</f>
        <v>504</v>
      </c>
    </row>
    <row r="33" spans="1:17" ht="14.25" customHeight="1" x14ac:dyDescent="0.2">
      <c r="B33" t="s">
        <v>29</v>
      </c>
      <c r="C33" t="s">
        <v>19</v>
      </c>
      <c r="D33">
        <f t="shared" ref="D33:D40" si="0">D32+4</f>
        <v>510</v>
      </c>
      <c r="F33" t="s">
        <v>35</v>
      </c>
      <c r="I33" s="21"/>
    </row>
    <row r="34" spans="1:17" ht="14.25" customHeight="1" x14ac:dyDescent="0.2">
      <c r="B34" t="s">
        <v>30</v>
      </c>
      <c r="C34" t="s">
        <v>19</v>
      </c>
      <c r="D34">
        <f t="shared" si="0"/>
        <v>514</v>
      </c>
      <c r="F34" t="s">
        <v>36</v>
      </c>
      <c r="I34" s="21"/>
    </row>
    <row r="35" spans="1:17" ht="14.25" customHeight="1" x14ac:dyDescent="0.2">
      <c r="B35" t="s">
        <v>31</v>
      </c>
      <c r="C35" t="s">
        <v>19</v>
      </c>
      <c r="D35">
        <f t="shared" si="0"/>
        <v>518</v>
      </c>
      <c r="F35" t="s">
        <v>37</v>
      </c>
      <c r="I35" s="21"/>
    </row>
    <row r="36" spans="1:17" ht="14.25" customHeight="1" x14ac:dyDescent="0.2">
      <c r="B36" t="s">
        <v>32</v>
      </c>
      <c r="C36" t="s">
        <v>19</v>
      </c>
      <c r="D36">
        <f t="shared" si="0"/>
        <v>522</v>
      </c>
      <c r="F36" t="s">
        <v>38</v>
      </c>
      <c r="I36" s="21"/>
    </row>
    <row r="37" spans="1:17" ht="14.25" customHeight="1" x14ac:dyDescent="0.2">
      <c r="B37" t="s">
        <v>41</v>
      </c>
      <c r="C37" t="s">
        <v>19</v>
      </c>
      <c r="D37">
        <f t="shared" si="0"/>
        <v>526</v>
      </c>
      <c r="F37" t="s">
        <v>45</v>
      </c>
      <c r="I37" s="21"/>
    </row>
    <row r="38" spans="1:17" ht="14.25" customHeight="1" x14ac:dyDescent="0.2">
      <c r="B38" t="s">
        <v>42</v>
      </c>
      <c r="C38" t="s">
        <v>19</v>
      </c>
      <c r="D38">
        <f t="shared" si="0"/>
        <v>530</v>
      </c>
      <c r="F38" t="s">
        <v>46</v>
      </c>
      <c r="I38" s="21"/>
    </row>
    <row r="39" spans="1:17" ht="14.25" customHeight="1" x14ac:dyDescent="0.2">
      <c r="B39" t="s">
        <v>43</v>
      </c>
      <c r="C39" t="s">
        <v>19</v>
      </c>
      <c r="D39">
        <f t="shared" si="0"/>
        <v>534</v>
      </c>
      <c r="F39" t="s">
        <v>47</v>
      </c>
      <c r="I39" s="21"/>
    </row>
    <row r="40" spans="1:17" ht="14.25" customHeight="1" x14ac:dyDescent="0.2">
      <c r="B40" t="s">
        <v>44</v>
      </c>
      <c r="C40" t="s">
        <v>19</v>
      </c>
      <c r="D40">
        <f t="shared" si="0"/>
        <v>538</v>
      </c>
      <c r="F40" t="s">
        <v>48</v>
      </c>
      <c r="I40" s="21"/>
    </row>
    <row r="41" spans="1:17" ht="25.5" customHeight="1" x14ac:dyDescent="0.2">
      <c r="B41" t="s">
        <v>89</v>
      </c>
      <c r="D41">
        <f>D40+4</f>
        <v>542</v>
      </c>
      <c r="I41" s="22"/>
    </row>
    <row r="42" spans="1:17" ht="14.25" customHeight="1" x14ac:dyDescent="0.2">
      <c r="A42" s="4" t="s">
        <v>0</v>
      </c>
      <c r="B42" s="5"/>
      <c r="C42" s="5"/>
      <c r="D42" s="5"/>
      <c r="E42" s="5"/>
      <c r="F42" s="5"/>
      <c r="G42" s="5"/>
      <c r="H42" s="6"/>
      <c r="I42" s="10" t="s">
        <v>62</v>
      </c>
      <c r="J42" s="12" t="s">
        <v>1</v>
      </c>
      <c r="K42" s="13"/>
      <c r="L42" s="13"/>
      <c r="M42" s="13"/>
      <c r="N42" s="13"/>
      <c r="O42" s="13"/>
      <c r="P42" s="13"/>
      <c r="Q42" s="14"/>
    </row>
    <row r="43" spans="1:17" ht="14.25" customHeight="1" x14ac:dyDescent="0.2">
      <c r="A43" s="7"/>
      <c r="B43" s="8"/>
      <c r="C43" s="8"/>
      <c r="D43" s="8"/>
      <c r="E43" s="8"/>
      <c r="F43" s="8"/>
      <c r="G43" s="8"/>
      <c r="H43" s="9"/>
      <c r="I43" s="19"/>
      <c r="J43" s="15"/>
      <c r="K43" s="16"/>
      <c r="L43" s="16"/>
      <c r="M43" s="16"/>
      <c r="N43" s="16"/>
      <c r="O43" s="16"/>
      <c r="P43" s="16"/>
      <c r="Q43" s="17"/>
    </row>
    <row r="44" spans="1:17" ht="14.25" customHeight="1" x14ac:dyDescent="0.2">
      <c r="B44" t="s">
        <v>24</v>
      </c>
      <c r="C44" t="s">
        <v>2</v>
      </c>
      <c r="D44">
        <f>D41+58</f>
        <v>600</v>
      </c>
      <c r="F44" t="s">
        <v>3</v>
      </c>
      <c r="I44" s="19"/>
      <c r="K44" t="s">
        <v>14</v>
      </c>
      <c r="L44" t="s">
        <v>2</v>
      </c>
      <c r="M44">
        <f>M32+96</f>
        <v>600</v>
      </c>
      <c r="O44" t="s">
        <v>15</v>
      </c>
    </row>
    <row r="45" spans="1:17" ht="14.25" customHeight="1" x14ac:dyDescent="0.2">
      <c r="B45" t="s">
        <v>5</v>
      </c>
      <c r="C45" t="s">
        <v>79</v>
      </c>
      <c r="D45">
        <f>D44+2</f>
        <v>602</v>
      </c>
      <c r="F45" t="s">
        <v>80</v>
      </c>
      <c r="I45" s="19"/>
      <c r="K45" t="s">
        <v>16</v>
      </c>
      <c r="L45" t="s">
        <v>17</v>
      </c>
      <c r="M45">
        <f>M44+2</f>
        <v>602</v>
      </c>
      <c r="O45" t="s">
        <v>18</v>
      </c>
    </row>
    <row r="46" spans="1:17" ht="14.25" customHeight="1" x14ac:dyDescent="0.2">
      <c r="B46" t="s">
        <v>25</v>
      </c>
      <c r="C46" t="s">
        <v>26</v>
      </c>
      <c r="D46">
        <f>D45+26</f>
        <v>628</v>
      </c>
      <c r="F46" t="s">
        <v>55</v>
      </c>
      <c r="I46" s="19"/>
      <c r="K46" t="s">
        <v>93</v>
      </c>
      <c r="M46">
        <f>M45+2</f>
        <v>604</v>
      </c>
    </row>
    <row r="47" spans="1:17" ht="14.25" customHeight="1" x14ac:dyDescent="0.2">
      <c r="B47" t="s">
        <v>63</v>
      </c>
      <c r="C47" t="s">
        <v>19</v>
      </c>
      <c r="D47">
        <f>D46+12</f>
        <v>640</v>
      </c>
      <c r="F47" t="s">
        <v>49</v>
      </c>
      <c r="I47" s="19"/>
    </row>
    <row r="48" spans="1:17" ht="14.25" customHeight="1" x14ac:dyDescent="0.2">
      <c r="B48" t="s">
        <v>64</v>
      </c>
      <c r="C48" t="s">
        <v>19</v>
      </c>
      <c r="D48">
        <f>D47+4</f>
        <v>644</v>
      </c>
      <c r="F48" t="s">
        <v>50</v>
      </c>
      <c r="I48" s="19"/>
    </row>
    <row r="49" spans="2:9" ht="14.25" customHeight="1" x14ac:dyDescent="0.2">
      <c r="B49" t="s">
        <v>65</v>
      </c>
      <c r="C49" t="s">
        <v>19</v>
      </c>
      <c r="D49">
        <f t="shared" ref="D49:D56" si="1">D48+4</f>
        <v>648</v>
      </c>
      <c r="F49" t="s">
        <v>51</v>
      </c>
      <c r="I49" s="19"/>
    </row>
    <row r="50" spans="2:9" ht="14.25" customHeight="1" x14ac:dyDescent="0.2">
      <c r="B50" t="s">
        <v>66</v>
      </c>
      <c r="C50" t="s">
        <v>19</v>
      </c>
      <c r="D50">
        <f t="shared" si="1"/>
        <v>652</v>
      </c>
      <c r="F50" t="s">
        <v>52</v>
      </c>
      <c r="I50" s="19"/>
    </row>
    <row r="51" spans="2:9" ht="14.25" customHeight="1" x14ac:dyDescent="0.2">
      <c r="B51" t="s">
        <v>67</v>
      </c>
      <c r="C51" t="s">
        <v>19</v>
      </c>
      <c r="D51">
        <f t="shared" si="1"/>
        <v>656</v>
      </c>
      <c r="F51" t="s">
        <v>53</v>
      </c>
      <c r="I51" s="19"/>
    </row>
    <row r="52" spans="2:9" ht="14.25" customHeight="1" x14ac:dyDescent="0.2">
      <c r="B52" t="s">
        <v>68</v>
      </c>
      <c r="C52" t="s">
        <v>19</v>
      </c>
      <c r="D52">
        <f t="shared" si="1"/>
        <v>660</v>
      </c>
      <c r="F52" t="s">
        <v>54</v>
      </c>
      <c r="I52" s="19"/>
    </row>
    <row r="53" spans="2:9" ht="14.25" customHeight="1" x14ac:dyDescent="0.2">
      <c r="B53" t="s">
        <v>69</v>
      </c>
      <c r="C53" t="s">
        <v>19</v>
      </c>
      <c r="D53">
        <f t="shared" si="1"/>
        <v>664</v>
      </c>
      <c r="F53" t="s">
        <v>56</v>
      </c>
      <c r="I53" s="19"/>
    </row>
    <row r="54" spans="2:9" ht="14.25" customHeight="1" x14ac:dyDescent="0.2">
      <c r="B54" t="s">
        <v>70</v>
      </c>
      <c r="C54" t="s">
        <v>19</v>
      </c>
      <c r="D54">
        <f t="shared" si="1"/>
        <v>668</v>
      </c>
      <c r="F54" t="s">
        <v>57</v>
      </c>
      <c r="I54" s="19"/>
    </row>
    <row r="55" spans="2:9" ht="14.25" customHeight="1" x14ac:dyDescent="0.2">
      <c r="B55" t="s">
        <v>71</v>
      </c>
      <c r="C55" t="s">
        <v>19</v>
      </c>
      <c r="D55">
        <f t="shared" si="1"/>
        <v>672</v>
      </c>
      <c r="F55" t="s">
        <v>84</v>
      </c>
      <c r="I55" s="19"/>
    </row>
    <row r="56" spans="2:9" ht="14.25" customHeight="1" x14ac:dyDescent="0.2">
      <c r="B56" t="s">
        <v>72</v>
      </c>
      <c r="C56" t="s">
        <v>19</v>
      </c>
      <c r="D56">
        <f t="shared" si="1"/>
        <v>676</v>
      </c>
      <c r="F56" t="s">
        <v>58</v>
      </c>
      <c r="I56" s="19"/>
    </row>
    <row r="57" spans="2:9" x14ac:dyDescent="0.2">
      <c r="B57" t="s">
        <v>91</v>
      </c>
      <c r="D57">
        <f>D56+4</f>
        <v>680</v>
      </c>
      <c r="I57" s="18"/>
    </row>
  </sheetData>
  <mergeCells count="21">
    <mergeCell ref="J42:Q43"/>
    <mergeCell ref="I5:I9"/>
    <mergeCell ref="A10:H11"/>
    <mergeCell ref="I10:I15"/>
    <mergeCell ref="J10:Q11"/>
    <mergeCell ref="A16:H17"/>
    <mergeCell ref="I16:I21"/>
    <mergeCell ref="J16:Q17"/>
    <mergeCell ref="A2:H3"/>
    <mergeCell ref="I2:I4"/>
    <mergeCell ref="J2:Q3"/>
    <mergeCell ref="A5:H6"/>
    <mergeCell ref="J5:Q6"/>
    <mergeCell ref="A22:H23"/>
    <mergeCell ref="I22:I27"/>
    <mergeCell ref="J22:Q23"/>
    <mergeCell ref="A28:H29"/>
    <mergeCell ref="I28:I41"/>
    <mergeCell ref="J28:Q29"/>
    <mergeCell ref="A42:H43"/>
    <mergeCell ref="I42:I57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3183-C798-4594-9D8B-E2795E4BBB1F}">
  <dimension ref="A1:Q73"/>
  <sheetViews>
    <sheetView topLeftCell="A37" zoomScaleNormal="100" workbookViewId="0">
      <selection activeCell="L75" sqref="L75"/>
    </sheetView>
  </sheetViews>
  <sheetFormatPr defaultRowHeight="14.25" x14ac:dyDescent="0.2"/>
  <cols>
    <col min="1" max="1" width="6.5" bestFit="1" customWidth="1"/>
    <col min="2" max="2" width="14.625" bestFit="1" customWidth="1"/>
    <col min="3" max="3" width="22.25" bestFit="1" customWidth="1"/>
    <col min="4" max="4" width="11.375" bestFit="1" customWidth="1"/>
    <col min="5" max="5" width="4.125" bestFit="1" customWidth="1"/>
    <col min="6" max="6" width="42.125" bestFit="1" customWidth="1"/>
    <col min="7" max="8" width="6.5" bestFit="1" customWidth="1"/>
    <col min="9" max="9" width="34.75" bestFit="1" customWidth="1"/>
    <col min="10" max="10" width="6.5" bestFit="1" customWidth="1"/>
    <col min="11" max="11" width="13.125" bestFit="1" customWidth="1"/>
    <col min="12" max="12" width="19" bestFit="1" customWidth="1"/>
    <col min="13" max="13" width="11.375" bestFit="1" customWidth="1"/>
    <col min="14" max="14" width="4.125" bestFit="1" customWidth="1"/>
    <col min="15" max="15" width="37.125" bestFit="1" customWidth="1"/>
    <col min="16" max="17" width="6.5" bestFit="1" customWidth="1"/>
  </cols>
  <sheetData>
    <row r="1" spans="1:17" ht="18" x14ac:dyDescent="0.2">
      <c r="A1" s="1" t="s">
        <v>6</v>
      </c>
      <c r="B1" s="1" t="s">
        <v>7</v>
      </c>
      <c r="C1" s="1" t="s">
        <v>8</v>
      </c>
      <c r="D1" s="1" t="s">
        <v>10</v>
      </c>
      <c r="E1" s="1" t="s">
        <v>12</v>
      </c>
      <c r="F1" s="1" t="s">
        <v>13</v>
      </c>
      <c r="G1" s="1" t="s">
        <v>11</v>
      </c>
      <c r="H1" s="1" t="s">
        <v>9</v>
      </c>
      <c r="I1" s="2" t="s">
        <v>20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12</v>
      </c>
      <c r="O1" s="3" t="s">
        <v>13</v>
      </c>
      <c r="P1" s="3" t="s">
        <v>11</v>
      </c>
      <c r="Q1" s="3" t="s">
        <v>9</v>
      </c>
    </row>
    <row r="2" spans="1:17" ht="14.25" customHeight="1" x14ac:dyDescent="0.2">
      <c r="A2" s="4" t="s">
        <v>0</v>
      </c>
      <c r="B2" s="5"/>
      <c r="C2" s="5"/>
      <c r="D2" s="5"/>
      <c r="E2" s="5"/>
      <c r="F2" s="5"/>
      <c r="G2" s="5"/>
      <c r="H2" s="6"/>
      <c r="I2" s="10" t="s">
        <v>21</v>
      </c>
      <c r="J2" s="12" t="s">
        <v>1</v>
      </c>
      <c r="K2" s="13"/>
      <c r="L2" s="13"/>
      <c r="M2" s="13"/>
      <c r="N2" s="13"/>
      <c r="O2" s="13"/>
      <c r="P2" s="13"/>
      <c r="Q2" s="14"/>
    </row>
    <row r="3" spans="1:17" ht="14.25" customHeight="1" x14ac:dyDescent="0.2">
      <c r="A3" s="7"/>
      <c r="B3" s="8"/>
      <c r="C3" s="8"/>
      <c r="D3" s="8"/>
      <c r="E3" s="8"/>
      <c r="F3" s="8"/>
      <c r="G3" s="8"/>
      <c r="H3" s="9"/>
      <c r="I3" s="11"/>
      <c r="J3" s="15"/>
      <c r="K3" s="16"/>
      <c r="L3" s="16"/>
      <c r="M3" s="16"/>
      <c r="N3" s="16"/>
      <c r="O3" s="16"/>
      <c r="P3" s="16"/>
      <c r="Q3" s="17"/>
    </row>
    <row r="4" spans="1:17" ht="14.25" customHeight="1" x14ac:dyDescent="0.2">
      <c r="H4">
        <v>200</v>
      </c>
      <c r="I4" s="11"/>
      <c r="K4" t="s">
        <v>22</v>
      </c>
      <c r="L4" t="s">
        <v>2</v>
      </c>
      <c r="M4">
        <v>0</v>
      </c>
      <c r="O4" t="s">
        <v>23</v>
      </c>
      <c r="Q4">
        <v>201</v>
      </c>
    </row>
    <row r="5" spans="1:17" ht="14.25" customHeight="1" x14ac:dyDescent="0.2">
      <c r="A5" s="4" t="s">
        <v>0</v>
      </c>
      <c r="B5" s="5"/>
      <c r="C5" s="5"/>
      <c r="D5" s="5"/>
      <c r="E5" s="5"/>
      <c r="F5" s="5"/>
      <c r="G5" s="5"/>
      <c r="H5" s="6"/>
      <c r="I5" s="10" t="s">
        <v>40</v>
      </c>
      <c r="J5" s="12" t="s">
        <v>1</v>
      </c>
      <c r="K5" s="13"/>
      <c r="L5" s="13"/>
      <c r="M5" s="13"/>
      <c r="N5" s="13"/>
      <c r="O5" s="13"/>
      <c r="P5" s="13"/>
      <c r="Q5" s="14"/>
    </row>
    <row r="6" spans="1:17" ht="14.25" customHeight="1" x14ac:dyDescent="0.2">
      <c r="A6" s="7"/>
      <c r="B6" s="8"/>
      <c r="C6" s="8"/>
      <c r="D6" s="8"/>
      <c r="E6" s="8"/>
      <c r="F6" s="8"/>
      <c r="G6" s="8"/>
      <c r="H6" s="9"/>
      <c r="I6" s="19"/>
      <c r="J6" s="15"/>
      <c r="K6" s="16"/>
      <c r="L6" s="16"/>
      <c r="M6" s="16"/>
      <c r="N6" s="16"/>
      <c r="O6" s="16"/>
      <c r="P6" s="16"/>
      <c r="Q6" s="17"/>
    </row>
    <row r="7" spans="1:17" ht="14.25" customHeight="1" x14ac:dyDescent="0.2">
      <c r="B7" t="s">
        <v>24</v>
      </c>
      <c r="C7" t="s">
        <v>2</v>
      </c>
      <c r="D7">
        <v>100</v>
      </c>
      <c r="F7" t="s">
        <v>73</v>
      </c>
      <c r="I7" s="19"/>
      <c r="K7" t="s">
        <v>14</v>
      </c>
      <c r="L7" t="s">
        <v>2</v>
      </c>
      <c r="M7">
        <v>100</v>
      </c>
      <c r="N7">
        <v>0</v>
      </c>
      <c r="O7" t="s">
        <v>74</v>
      </c>
    </row>
    <row r="8" spans="1:17" ht="14.25" customHeight="1" x14ac:dyDescent="0.2">
      <c r="B8" t="s">
        <v>5</v>
      </c>
      <c r="C8" t="s">
        <v>4</v>
      </c>
      <c r="D8">
        <f>D7+2</f>
        <v>102</v>
      </c>
      <c r="F8" t="s">
        <v>80</v>
      </c>
      <c r="I8" s="19"/>
      <c r="K8" t="s">
        <v>16</v>
      </c>
      <c r="L8" t="s">
        <v>17</v>
      </c>
      <c r="M8">
        <f>M7+2</f>
        <v>102</v>
      </c>
      <c r="O8" t="s">
        <v>75</v>
      </c>
    </row>
    <row r="9" spans="1:17" ht="14.25" customHeight="1" x14ac:dyDescent="0.2">
      <c r="B9" t="s">
        <v>85</v>
      </c>
      <c r="D9">
        <f>D8+26</f>
        <v>128</v>
      </c>
      <c r="I9" s="18"/>
      <c r="K9" t="s">
        <v>87</v>
      </c>
      <c r="M9">
        <f>M8+2</f>
        <v>104</v>
      </c>
    </row>
    <row r="10" spans="1:17" ht="14.25" customHeight="1" x14ac:dyDescent="0.2">
      <c r="A10" s="4" t="s">
        <v>0</v>
      </c>
      <c r="B10" s="5"/>
      <c r="C10" s="5"/>
      <c r="D10" s="5"/>
      <c r="E10" s="5"/>
      <c r="F10" s="5"/>
      <c r="G10" s="5"/>
      <c r="H10" s="6"/>
      <c r="I10" s="10" t="s">
        <v>76</v>
      </c>
      <c r="J10" s="12" t="s">
        <v>1</v>
      </c>
      <c r="K10" s="13"/>
      <c r="L10" s="13"/>
      <c r="M10" s="13"/>
      <c r="N10" s="13"/>
      <c r="O10" s="13"/>
      <c r="P10" s="13"/>
      <c r="Q10" s="14"/>
    </row>
    <row r="11" spans="1:17" ht="14.25" customHeight="1" x14ac:dyDescent="0.2">
      <c r="A11" s="7"/>
      <c r="B11" s="8"/>
      <c r="C11" s="8"/>
      <c r="D11" s="8"/>
      <c r="E11" s="8"/>
      <c r="F11" s="8"/>
      <c r="G11" s="8"/>
      <c r="H11" s="9"/>
      <c r="I11" s="19"/>
      <c r="J11" s="15"/>
      <c r="K11" s="16"/>
      <c r="L11" s="16"/>
      <c r="M11" s="16"/>
      <c r="N11" s="16"/>
      <c r="O11" s="16"/>
      <c r="P11" s="16"/>
      <c r="Q11" s="17"/>
    </row>
    <row r="12" spans="1:17" ht="14.25" customHeight="1" x14ac:dyDescent="0.2">
      <c r="B12" t="s">
        <v>24</v>
      </c>
      <c r="C12" t="s">
        <v>2</v>
      </c>
      <c r="D12">
        <f>D9+72</f>
        <v>200</v>
      </c>
      <c r="F12" t="s">
        <v>3</v>
      </c>
      <c r="I12" s="19"/>
      <c r="K12" t="s">
        <v>14</v>
      </c>
      <c r="L12" t="s">
        <v>2</v>
      </c>
      <c r="M12">
        <f>M9+96</f>
        <v>200</v>
      </c>
      <c r="O12" t="s">
        <v>15</v>
      </c>
    </row>
    <row r="13" spans="1:17" ht="14.25" customHeight="1" x14ac:dyDescent="0.2">
      <c r="B13" t="s">
        <v>5</v>
      </c>
      <c r="C13" t="s">
        <v>4</v>
      </c>
      <c r="D13">
        <f>D12+2</f>
        <v>202</v>
      </c>
      <c r="F13" t="s">
        <v>80</v>
      </c>
      <c r="I13" s="19"/>
      <c r="K13" t="s">
        <v>16</v>
      </c>
      <c r="L13" t="s">
        <v>17</v>
      </c>
      <c r="M13">
        <f>M12+2</f>
        <v>202</v>
      </c>
      <c r="O13" t="s">
        <v>18</v>
      </c>
    </row>
    <row r="14" spans="1:17" ht="14.25" customHeight="1" x14ac:dyDescent="0.2">
      <c r="B14" t="s">
        <v>78</v>
      </c>
      <c r="C14" t="s">
        <v>4</v>
      </c>
      <c r="D14">
        <f>D13+26</f>
        <v>228</v>
      </c>
      <c r="F14" t="s">
        <v>81</v>
      </c>
      <c r="I14" s="19"/>
      <c r="K14" t="s">
        <v>87</v>
      </c>
      <c r="M14">
        <f>M13+2</f>
        <v>204</v>
      </c>
    </row>
    <row r="15" spans="1:17" ht="14.25" customHeight="1" x14ac:dyDescent="0.2">
      <c r="B15" t="s">
        <v>86</v>
      </c>
      <c r="D15">
        <f>D14+26</f>
        <v>254</v>
      </c>
      <c r="I15" s="18"/>
    </row>
    <row r="16" spans="1:17" ht="14.25" customHeight="1" x14ac:dyDescent="0.2">
      <c r="A16" s="4" t="s">
        <v>0</v>
      </c>
      <c r="B16" s="5"/>
      <c r="C16" s="5"/>
      <c r="D16" s="5"/>
      <c r="E16" s="5"/>
      <c r="F16" s="5"/>
      <c r="G16" s="5"/>
      <c r="H16" s="6"/>
      <c r="I16" s="10" t="s">
        <v>60</v>
      </c>
      <c r="J16" s="12" t="s">
        <v>1</v>
      </c>
      <c r="K16" s="13"/>
      <c r="L16" s="13"/>
      <c r="M16" s="13"/>
      <c r="N16" s="13"/>
      <c r="O16" s="13"/>
      <c r="P16" s="13"/>
      <c r="Q16" s="14"/>
    </row>
    <row r="17" spans="1:17" ht="14.25" customHeight="1" x14ac:dyDescent="0.2">
      <c r="A17" s="7"/>
      <c r="B17" s="8"/>
      <c r="C17" s="8"/>
      <c r="D17" s="8"/>
      <c r="E17" s="8"/>
      <c r="F17" s="8"/>
      <c r="G17" s="8"/>
      <c r="H17" s="9"/>
      <c r="I17" s="19"/>
      <c r="J17" s="15"/>
      <c r="K17" s="16"/>
      <c r="L17" s="16"/>
      <c r="M17" s="16"/>
      <c r="N17" s="16"/>
      <c r="O17" s="16"/>
      <c r="P17" s="16"/>
      <c r="Q17" s="17"/>
    </row>
    <row r="18" spans="1:17" ht="14.25" customHeight="1" x14ac:dyDescent="0.2">
      <c r="B18" t="s">
        <v>24</v>
      </c>
      <c r="C18" t="s">
        <v>2</v>
      </c>
      <c r="D18">
        <f>D15+46</f>
        <v>300</v>
      </c>
      <c r="F18" t="s">
        <v>3</v>
      </c>
      <c r="I18" s="19"/>
      <c r="K18" t="s">
        <v>14</v>
      </c>
      <c r="L18" t="s">
        <v>2</v>
      </c>
      <c r="M18">
        <f>M14+96</f>
        <v>300</v>
      </c>
      <c r="O18" t="s">
        <v>15</v>
      </c>
    </row>
    <row r="19" spans="1:17" ht="14.25" customHeight="1" x14ac:dyDescent="0.2">
      <c r="B19" t="s">
        <v>5</v>
      </c>
      <c r="C19" t="s">
        <v>4</v>
      </c>
      <c r="D19">
        <f>D18+2</f>
        <v>302</v>
      </c>
      <c r="F19" t="s">
        <v>39</v>
      </c>
      <c r="I19" s="19"/>
      <c r="K19" t="s">
        <v>16</v>
      </c>
      <c r="L19" t="s">
        <v>17</v>
      </c>
      <c r="M19">
        <f>M18+2</f>
        <v>302</v>
      </c>
      <c r="O19" t="s">
        <v>18</v>
      </c>
    </row>
    <row r="20" spans="1:17" ht="14.25" customHeight="1" x14ac:dyDescent="0.2">
      <c r="B20" t="s">
        <v>77</v>
      </c>
      <c r="C20" t="s">
        <v>4</v>
      </c>
      <c r="D20">
        <f>D19+26</f>
        <v>328</v>
      </c>
      <c r="F20" t="s">
        <v>61</v>
      </c>
      <c r="I20" s="19"/>
      <c r="K20" t="s">
        <v>87</v>
      </c>
      <c r="M20">
        <f>M19+2</f>
        <v>304</v>
      </c>
    </row>
    <row r="21" spans="1:17" ht="14.25" customHeight="1" x14ac:dyDescent="0.2">
      <c r="B21" t="s">
        <v>86</v>
      </c>
      <c r="D21">
        <f>D20+26</f>
        <v>354</v>
      </c>
      <c r="I21" s="18"/>
    </row>
    <row r="22" spans="1:17" ht="14.25" customHeight="1" x14ac:dyDescent="0.2">
      <c r="A22" s="4" t="s">
        <v>0</v>
      </c>
      <c r="B22" s="5"/>
      <c r="C22" s="5"/>
      <c r="D22" s="5"/>
      <c r="E22" s="5"/>
      <c r="F22" s="5"/>
      <c r="G22" s="5"/>
      <c r="H22" s="6"/>
      <c r="I22" s="10" t="s">
        <v>82</v>
      </c>
      <c r="J22" s="12" t="s">
        <v>1</v>
      </c>
      <c r="K22" s="13"/>
      <c r="L22" s="13"/>
      <c r="M22" s="13"/>
      <c r="N22" s="13"/>
      <c r="O22" s="13"/>
      <c r="P22" s="13"/>
      <c r="Q22" s="14"/>
    </row>
    <row r="23" spans="1:17" ht="14.25" customHeight="1" x14ac:dyDescent="0.2">
      <c r="A23" s="7"/>
      <c r="B23" s="8"/>
      <c r="C23" s="8"/>
      <c r="D23" s="8"/>
      <c r="E23" s="8"/>
      <c r="F23" s="8"/>
      <c r="G23" s="8"/>
      <c r="H23" s="9"/>
      <c r="I23" s="19"/>
      <c r="J23" s="15"/>
      <c r="K23" s="16"/>
      <c r="L23" s="16"/>
      <c r="M23" s="16"/>
      <c r="N23" s="16"/>
      <c r="O23" s="16"/>
      <c r="P23" s="16"/>
      <c r="Q23" s="17"/>
    </row>
    <row r="24" spans="1:17" ht="14.25" customHeight="1" x14ac:dyDescent="0.2">
      <c r="B24" t="s">
        <v>24</v>
      </c>
      <c r="C24" t="s">
        <v>2</v>
      </c>
      <c r="D24">
        <f>D21+46</f>
        <v>400</v>
      </c>
      <c r="F24" t="s">
        <v>3</v>
      </c>
      <c r="I24" s="19"/>
      <c r="K24" t="s">
        <v>14</v>
      </c>
      <c r="L24" t="s">
        <v>2</v>
      </c>
      <c r="M24">
        <f>M20+96</f>
        <v>400</v>
      </c>
      <c r="O24" t="s">
        <v>15</v>
      </c>
    </row>
    <row r="25" spans="1:17" ht="14.25" customHeight="1" x14ac:dyDescent="0.2">
      <c r="B25" t="s">
        <v>88</v>
      </c>
      <c r="D25">
        <f>D24+2</f>
        <v>402</v>
      </c>
      <c r="I25" s="19"/>
      <c r="K25" t="s">
        <v>16</v>
      </c>
      <c r="L25" t="s">
        <v>17</v>
      </c>
      <c r="M25">
        <f>M24+2</f>
        <v>402</v>
      </c>
      <c r="O25" t="s">
        <v>18</v>
      </c>
    </row>
    <row r="26" spans="1:17" ht="14.25" customHeight="1" x14ac:dyDescent="0.2">
      <c r="I26" s="19"/>
      <c r="K26" t="s">
        <v>78</v>
      </c>
      <c r="L26" t="s">
        <v>4</v>
      </c>
      <c r="M26">
        <f>M25+2</f>
        <v>404</v>
      </c>
      <c r="O26" t="s">
        <v>83</v>
      </c>
    </row>
    <row r="27" spans="1:17" ht="14.25" customHeight="1" x14ac:dyDescent="0.2">
      <c r="I27" s="18"/>
      <c r="K27" t="s">
        <v>90</v>
      </c>
      <c r="M27">
        <f>M26+26</f>
        <v>430</v>
      </c>
    </row>
    <row r="28" spans="1:17" ht="14.25" customHeight="1" x14ac:dyDescent="0.2">
      <c r="A28" s="4" t="s">
        <v>0</v>
      </c>
      <c r="B28" s="5"/>
      <c r="C28" s="5"/>
      <c r="D28" s="5"/>
      <c r="E28" s="5"/>
      <c r="F28" s="5"/>
      <c r="G28" s="5"/>
      <c r="H28" s="6"/>
      <c r="I28" s="20" t="s">
        <v>59</v>
      </c>
      <c r="J28" s="12" t="s">
        <v>1</v>
      </c>
      <c r="K28" s="13"/>
      <c r="L28" s="13"/>
      <c r="M28" s="13"/>
      <c r="N28" s="13"/>
      <c r="O28" s="13"/>
      <c r="P28" s="13"/>
      <c r="Q28" s="14"/>
    </row>
    <row r="29" spans="1:17" ht="14.25" customHeight="1" x14ac:dyDescent="0.2">
      <c r="A29" s="7"/>
      <c r="B29" s="8"/>
      <c r="C29" s="8"/>
      <c r="D29" s="8"/>
      <c r="E29" s="8"/>
      <c r="F29" s="8"/>
      <c r="G29" s="8"/>
      <c r="H29" s="9"/>
      <c r="I29" s="21"/>
      <c r="J29" s="15"/>
      <c r="K29" s="16"/>
      <c r="L29" s="16"/>
      <c r="M29" s="16"/>
      <c r="N29" s="16"/>
      <c r="O29" s="16"/>
      <c r="P29" s="16"/>
      <c r="Q29" s="17"/>
    </row>
    <row r="30" spans="1:17" ht="14.25" customHeight="1" x14ac:dyDescent="0.2">
      <c r="B30" t="s">
        <v>24</v>
      </c>
      <c r="C30" t="s">
        <v>2</v>
      </c>
      <c r="D30">
        <f>D25+98</f>
        <v>500</v>
      </c>
      <c r="F30" t="s">
        <v>3</v>
      </c>
      <c r="I30" s="21"/>
      <c r="K30" t="s">
        <v>14</v>
      </c>
      <c r="L30" t="s">
        <v>2</v>
      </c>
      <c r="M30">
        <f>M27+70</f>
        <v>500</v>
      </c>
      <c r="O30" t="s">
        <v>15</v>
      </c>
    </row>
    <row r="31" spans="1:17" ht="14.25" customHeight="1" x14ac:dyDescent="0.2">
      <c r="B31" t="s">
        <v>27</v>
      </c>
      <c r="C31" t="s">
        <v>19</v>
      </c>
      <c r="D31">
        <f>D30+2</f>
        <v>502</v>
      </c>
      <c r="F31" t="s">
        <v>33</v>
      </c>
      <c r="I31" s="21"/>
      <c r="K31" t="s">
        <v>16</v>
      </c>
      <c r="L31" t="s">
        <v>17</v>
      </c>
      <c r="M31">
        <f>M30+2</f>
        <v>502</v>
      </c>
      <c r="O31" t="s">
        <v>18</v>
      </c>
    </row>
    <row r="32" spans="1:17" ht="14.25" customHeight="1" x14ac:dyDescent="0.2">
      <c r="B32" t="s">
        <v>28</v>
      </c>
      <c r="C32" t="s">
        <v>19</v>
      </c>
      <c r="D32">
        <f>D31+4</f>
        <v>506</v>
      </c>
      <c r="F32" t="s">
        <v>34</v>
      </c>
      <c r="I32" s="21"/>
      <c r="K32" t="s">
        <v>87</v>
      </c>
      <c r="M32">
        <f>M31+2</f>
        <v>504</v>
      </c>
    </row>
    <row r="33" spans="1:17" ht="14.25" customHeight="1" x14ac:dyDescent="0.2">
      <c r="B33" t="s">
        <v>29</v>
      </c>
      <c r="C33" t="s">
        <v>19</v>
      </c>
      <c r="D33">
        <f t="shared" ref="D33:D40" si="0">D32+4</f>
        <v>510</v>
      </c>
      <c r="F33" t="s">
        <v>35</v>
      </c>
      <c r="I33" s="21"/>
    </row>
    <row r="34" spans="1:17" ht="14.25" customHeight="1" x14ac:dyDescent="0.2">
      <c r="B34" t="s">
        <v>30</v>
      </c>
      <c r="C34" t="s">
        <v>19</v>
      </c>
      <c r="D34">
        <f t="shared" si="0"/>
        <v>514</v>
      </c>
      <c r="F34" t="s">
        <v>36</v>
      </c>
      <c r="I34" s="21"/>
    </row>
    <row r="35" spans="1:17" ht="14.25" customHeight="1" x14ac:dyDescent="0.2">
      <c r="B35" t="s">
        <v>31</v>
      </c>
      <c r="C35" t="s">
        <v>19</v>
      </c>
      <c r="D35">
        <f t="shared" si="0"/>
        <v>518</v>
      </c>
      <c r="F35" t="s">
        <v>37</v>
      </c>
      <c r="I35" s="21"/>
    </row>
    <row r="36" spans="1:17" ht="14.25" customHeight="1" x14ac:dyDescent="0.2">
      <c r="B36" t="s">
        <v>32</v>
      </c>
      <c r="C36" t="s">
        <v>19</v>
      </c>
      <c r="D36">
        <f t="shared" si="0"/>
        <v>522</v>
      </c>
      <c r="F36" t="s">
        <v>38</v>
      </c>
      <c r="I36" s="21"/>
    </row>
    <row r="37" spans="1:17" ht="14.25" customHeight="1" x14ac:dyDescent="0.2">
      <c r="B37" t="s">
        <v>41</v>
      </c>
      <c r="C37" t="s">
        <v>19</v>
      </c>
      <c r="D37">
        <f t="shared" si="0"/>
        <v>526</v>
      </c>
      <c r="F37" t="s">
        <v>45</v>
      </c>
      <c r="I37" s="21"/>
    </row>
    <row r="38" spans="1:17" ht="14.25" customHeight="1" x14ac:dyDescent="0.2">
      <c r="B38" t="s">
        <v>42</v>
      </c>
      <c r="C38" t="s">
        <v>19</v>
      </c>
      <c r="D38">
        <f t="shared" si="0"/>
        <v>530</v>
      </c>
      <c r="F38" t="s">
        <v>46</v>
      </c>
      <c r="I38" s="21"/>
    </row>
    <row r="39" spans="1:17" ht="14.25" customHeight="1" x14ac:dyDescent="0.2">
      <c r="B39" t="s">
        <v>43</v>
      </c>
      <c r="C39" t="s">
        <v>19</v>
      </c>
      <c r="D39">
        <f t="shared" si="0"/>
        <v>534</v>
      </c>
      <c r="F39" t="s">
        <v>47</v>
      </c>
      <c r="I39" s="21"/>
    </row>
    <row r="40" spans="1:17" ht="14.25" customHeight="1" x14ac:dyDescent="0.2">
      <c r="B40" t="s">
        <v>44</v>
      </c>
      <c r="C40" t="s">
        <v>19</v>
      </c>
      <c r="D40">
        <f t="shared" si="0"/>
        <v>538</v>
      </c>
      <c r="F40" t="s">
        <v>48</v>
      </c>
      <c r="I40" s="21"/>
    </row>
    <row r="41" spans="1:17" ht="25.5" customHeight="1" x14ac:dyDescent="0.2">
      <c r="B41" t="s">
        <v>89</v>
      </c>
      <c r="D41">
        <f>D40+4</f>
        <v>542</v>
      </c>
      <c r="I41" s="22"/>
    </row>
    <row r="42" spans="1:17" ht="14.25" customHeight="1" x14ac:dyDescent="0.2">
      <c r="A42" s="4" t="s">
        <v>0</v>
      </c>
      <c r="B42" s="5"/>
      <c r="C42" s="5"/>
      <c r="D42" s="5"/>
      <c r="E42" s="5"/>
      <c r="F42" s="5"/>
      <c r="G42" s="5"/>
      <c r="H42" s="6"/>
      <c r="I42" s="10" t="s">
        <v>62</v>
      </c>
      <c r="J42" s="12" t="s">
        <v>1</v>
      </c>
      <c r="K42" s="13"/>
      <c r="L42" s="13"/>
      <c r="M42" s="13"/>
      <c r="N42" s="13"/>
      <c r="O42" s="13"/>
      <c r="P42" s="13"/>
      <c r="Q42" s="14"/>
    </row>
    <row r="43" spans="1:17" ht="14.25" customHeight="1" x14ac:dyDescent="0.2">
      <c r="A43" s="7"/>
      <c r="B43" s="8"/>
      <c r="C43" s="8"/>
      <c r="D43" s="8"/>
      <c r="E43" s="8"/>
      <c r="F43" s="8"/>
      <c r="G43" s="8"/>
      <c r="H43" s="9"/>
      <c r="I43" s="19"/>
      <c r="J43" s="15"/>
      <c r="K43" s="16"/>
      <c r="L43" s="16"/>
      <c r="M43" s="16"/>
      <c r="N43" s="16"/>
      <c r="O43" s="16"/>
      <c r="P43" s="16"/>
      <c r="Q43" s="17"/>
    </row>
    <row r="44" spans="1:17" ht="14.25" customHeight="1" x14ac:dyDescent="0.2">
      <c r="B44" t="s">
        <v>24</v>
      </c>
      <c r="C44" t="s">
        <v>2</v>
      </c>
      <c r="D44">
        <f>D41+58</f>
        <v>600</v>
      </c>
      <c r="F44" t="s">
        <v>3</v>
      </c>
      <c r="I44" s="19"/>
      <c r="K44" t="s">
        <v>14</v>
      </c>
      <c r="L44" t="s">
        <v>2</v>
      </c>
      <c r="M44">
        <f>M32+96</f>
        <v>600</v>
      </c>
      <c r="O44" t="s">
        <v>15</v>
      </c>
    </row>
    <row r="45" spans="1:17" ht="14.25" customHeight="1" x14ac:dyDescent="0.2">
      <c r="B45" t="s">
        <v>5</v>
      </c>
      <c r="C45" t="s">
        <v>79</v>
      </c>
      <c r="D45">
        <f>D44+2</f>
        <v>602</v>
      </c>
      <c r="F45" t="s">
        <v>80</v>
      </c>
      <c r="I45" s="19"/>
      <c r="K45" t="s">
        <v>16</v>
      </c>
      <c r="L45" t="s">
        <v>17</v>
      </c>
      <c r="M45">
        <f>M44+2</f>
        <v>602</v>
      </c>
      <c r="O45" t="s">
        <v>18</v>
      </c>
    </row>
    <row r="46" spans="1:17" ht="14.25" customHeight="1" x14ac:dyDescent="0.2">
      <c r="B46" t="s">
        <v>25</v>
      </c>
      <c r="C46" t="s">
        <v>26</v>
      </c>
      <c r="D46">
        <f>D45+26</f>
        <v>628</v>
      </c>
      <c r="F46" t="s">
        <v>55</v>
      </c>
      <c r="I46" s="19"/>
      <c r="K46" t="s">
        <v>93</v>
      </c>
      <c r="M46">
        <f>M45+2</f>
        <v>604</v>
      </c>
    </row>
    <row r="47" spans="1:17" ht="14.25" customHeight="1" x14ac:dyDescent="0.2">
      <c r="B47" t="s">
        <v>63</v>
      </c>
      <c r="C47" t="s">
        <v>19</v>
      </c>
      <c r="D47">
        <f>D46+12</f>
        <v>640</v>
      </c>
      <c r="F47" t="s">
        <v>49</v>
      </c>
      <c r="I47" s="19"/>
    </row>
    <row r="48" spans="1:17" ht="14.25" customHeight="1" x14ac:dyDescent="0.2">
      <c r="B48" t="s">
        <v>64</v>
      </c>
      <c r="C48" t="s">
        <v>19</v>
      </c>
      <c r="D48">
        <f>D47+4</f>
        <v>644</v>
      </c>
      <c r="F48" t="s">
        <v>50</v>
      </c>
      <c r="I48" s="19"/>
    </row>
    <row r="49" spans="1:17" ht="14.25" customHeight="1" x14ac:dyDescent="0.2">
      <c r="B49" t="s">
        <v>65</v>
      </c>
      <c r="C49" t="s">
        <v>19</v>
      </c>
      <c r="D49">
        <f t="shared" ref="D49:D56" si="1">D48+4</f>
        <v>648</v>
      </c>
      <c r="F49" t="s">
        <v>51</v>
      </c>
      <c r="I49" s="19"/>
    </row>
    <row r="50" spans="1:17" ht="14.25" customHeight="1" x14ac:dyDescent="0.2">
      <c r="B50" t="s">
        <v>66</v>
      </c>
      <c r="C50" t="s">
        <v>19</v>
      </c>
      <c r="D50">
        <f t="shared" si="1"/>
        <v>652</v>
      </c>
      <c r="F50" t="s">
        <v>52</v>
      </c>
      <c r="I50" s="19"/>
    </row>
    <row r="51" spans="1:17" ht="14.25" customHeight="1" x14ac:dyDescent="0.2">
      <c r="B51" t="s">
        <v>67</v>
      </c>
      <c r="C51" t="s">
        <v>19</v>
      </c>
      <c r="D51">
        <f t="shared" si="1"/>
        <v>656</v>
      </c>
      <c r="F51" t="s">
        <v>53</v>
      </c>
      <c r="I51" s="19"/>
    </row>
    <row r="52" spans="1:17" ht="14.25" customHeight="1" x14ac:dyDescent="0.2">
      <c r="B52" t="s">
        <v>68</v>
      </c>
      <c r="C52" t="s">
        <v>19</v>
      </c>
      <c r="D52">
        <f t="shared" si="1"/>
        <v>660</v>
      </c>
      <c r="F52" t="s">
        <v>54</v>
      </c>
      <c r="I52" s="19"/>
    </row>
    <row r="53" spans="1:17" ht="14.25" customHeight="1" x14ac:dyDescent="0.2">
      <c r="B53" t="s">
        <v>69</v>
      </c>
      <c r="C53" t="s">
        <v>19</v>
      </c>
      <c r="D53">
        <f t="shared" si="1"/>
        <v>664</v>
      </c>
      <c r="F53" t="s">
        <v>56</v>
      </c>
      <c r="I53" s="19"/>
    </row>
    <row r="54" spans="1:17" ht="14.25" customHeight="1" x14ac:dyDescent="0.2">
      <c r="B54" t="s">
        <v>70</v>
      </c>
      <c r="C54" t="s">
        <v>19</v>
      </c>
      <c r="D54">
        <f t="shared" si="1"/>
        <v>668</v>
      </c>
      <c r="F54" t="s">
        <v>57</v>
      </c>
      <c r="I54" s="19"/>
    </row>
    <row r="55" spans="1:17" ht="14.25" customHeight="1" x14ac:dyDescent="0.2">
      <c r="B55" t="s">
        <v>71</v>
      </c>
      <c r="C55" t="s">
        <v>19</v>
      </c>
      <c r="D55">
        <f t="shared" si="1"/>
        <v>672</v>
      </c>
      <c r="F55" t="s">
        <v>84</v>
      </c>
      <c r="I55" s="19"/>
    </row>
    <row r="56" spans="1:17" ht="14.25" customHeight="1" x14ac:dyDescent="0.2">
      <c r="B56" t="s">
        <v>72</v>
      </c>
      <c r="C56" t="s">
        <v>19</v>
      </c>
      <c r="D56">
        <f t="shared" si="1"/>
        <v>676</v>
      </c>
      <c r="F56" t="s">
        <v>58</v>
      </c>
      <c r="I56" s="19"/>
    </row>
    <row r="57" spans="1:17" ht="14.25" customHeight="1" x14ac:dyDescent="0.2">
      <c r="B57" t="s">
        <v>108</v>
      </c>
      <c r="C57" t="s">
        <v>109</v>
      </c>
      <c r="D57">
        <f>D56+4</f>
        <v>680</v>
      </c>
      <c r="F57" t="s">
        <v>106</v>
      </c>
      <c r="I57" s="19"/>
    </row>
    <row r="58" spans="1:17" x14ac:dyDescent="0.2">
      <c r="B58" t="s">
        <v>117</v>
      </c>
      <c r="D58">
        <f>D57+420</f>
        <v>1100</v>
      </c>
      <c r="I58" s="18"/>
    </row>
    <row r="59" spans="1:17" ht="14.25" customHeight="1" x14ac:dyDescent="0.2">
      <c r="A59" s="4" t="s">
        <v>0</v>
      </c>
      <c r="B59" s="5"/>
      <c r="C59" s="5"/>
      <c r="D59" s="5"/>
      <c r="E59" s="5"/>
      <c r="F59" s="5"/>
      <c r="G59" s="5"/>
      <c r="H59" s="6"/>
      <c r="I59" s="10" t="s">
        <v>98</v>
      </c>
      <c r="J59" s="12" t="s">
        <v>1</v>
      </c>
      <c r="K59" s="13"/>
      <c r="L59" s="13"/>
      <c r="M59" s="13"/>
      <c r="N59" s="13"/>
      <c r="O59" s="13"/>
      <c r="P59" s="13"/>
      <c r="Q59" s="14"/>
    </row>
    <row r="60" spans="1:17" ht="14.25" customHeight="1" x14ac:dyDescent="0.2">
      <c r="A60" s="7"/>
      <c r="B60" s="8"/>
      <c r="C60" s="8"/>
      <c r="D60" s="8"/>
      <c r="E60" s="8"/>
      <c r="F60" s="8"/>
      <c r="G60" s="8"/>
      <c r="H60" s="9"/>
      <c r="I60" s="11"/>
      <c r="J60" s="15"/>
      <c r="K60" s="16"/>
      <c r="L60" s="16"/>
      <c r="M60" s="16"/>
      <c r="N60" s="16"/>
      <c r="O60" s="16"/>
      <c r="P60" s="16"/>
      <c r="Q60" s="17"/>
    </row>
    <row r="61" spans="1:17" ht="14.25" customHeight="1" x14ac:dyDescent="0.2">
      <c r="B61" t="s">
        <v>24</v>
      </c>
      <c r="C61" t="s">
        <v>2</v>
      </c>
      <c r="D61">
        <f>D58+100</f>
        <v>1200</v>
      </c>
      <c r="F61" t="s">
        <v>3</v>
      </c>
      <c r="I61" s="11"/>
      <c r="K61" t="s">
        <v>14</v>
      </c>
      <c r="L61" t="s">
        <v>2</v>
      </c>
      <c r="M61">
        <f>M46+196</f>
        <v>800</v>
      </c>
      <c r="O61" t="s">
        <v>15</v>
      </c>
    </row>
    <row r="62" spans="1:17" ht="14.25" customHeight="1" x14ac:dyDescent="0.2">
      <c r="B62" t="s">
        <v>5</v>
      </c>
      <c r="C62" t="s">
        <v>79</v>
      </c>
      <c r="D62">
        <f>D61+2</f>
        <v>1202</v>
      </c>
      <c r="F62" t="s">
        <v>80</v>
      </c>
      <c r="I62" s="11"/>
      <c r="K62" t="s">
        <v>16</v>
      </c>
      <c r="L62" t="s">
        <v>17</v>
      </c>
      <c r="M62">
        <f>M61+2</f>
        <v>802</v>
      </c>
      <c r="O62" t="s">
        <v>18</v>
      </c>
    </row>
    <row r="63" spans="1:17" ht="14.25" customHeight="1" x14ac:dyDescent="0.2">
      <c r="I63" s="11"/>
    </row>
    <row r="64" spans="1:17" ht="14.25" customHeight="1" x14ac:dyDescent="0.2">
      <c r="I64" s="11"/>
    </row>
    <row r="65" spans="9:9" ht="14.25" customHeight="1" x14ac:dyDescent="0.2">
      <c r="I65" s="11"/>
    </row>
    <row r="66" spans="9:9" ht="14.25" customHeight="1" x14ac:dyDescent="0.2">
      <c r="I66" s="11"/>
    </row>
    <row r="67" spans="9:9" ht="14.25" customHeight="1" x14ac:dyDescent="0.2">
      <c r="I67" s="11"/>
    </row>
    <row r="68" spans="9:9" ht="14.25" customHeight="1" x14ac:dyDescent="0.2">
      <c r="I68" s="11"/>
    </row>
    <row r="69" spans="9:9" ht="14.25" customHeight="1" x14ac:dyDescent="0.2">
      <c r="I69" s="11"/>
    </row>
    <row r="70" spans="9:9" ht="14.25" customHeight="1" x14ac:dyDescent="0.2">
      <c r="I70" s="11"/>
    </row>
    <row r="71" spans="9:9" ht="14.25" customHeight="1" x14ac:dyDescent="0.2">
      <c r="I71" s="11"/>
    </row>
    <row r="72" spans="9:9" ht="14.25" customHeight="1" x14ac:dyDescent="0.2">
      <c r="I72" s="11"/>
    </row>
    <row r="73" spans="9:9" ht="14.25" customHeight="1" x14ac:dyDescent="0.2">
      <c r="I73" s="18"/>
    </row>
  </sheetData>
  <mergeCells count="24">
    <mergeCell ref="J42:Q43"/>
    <mergeCell ref="A59:H60"/>
    <mergeCell ref="I59:I73"/>
    <mergeCell ref="J59:Q60"/>
    <mergeCell ref="I5:I9"/>
    <mergeCell ref="A10:H11"/>
    <mergeCell ref="I10:I15"/>
    <mergeCell ref="J10:Q11"/>
    <mergeCell ref="A16:H17"/>
    <mergeCell ref="I16:I21"/>
    <mergeCell ref="J16:Q17"/>
    <mergeCell ref="A2:H3"/>
    <mergeCell ref="I2:I4"/>
    <mergeCell ref="J2:Q3"/>
    <mergeCell ref="A5:H6"/>
    <mergeCell ref="J5:Q6"/>
    <mergeCell ref="A22:H23"/>
    <mergeCell ref="I22:I27"/>
    <mergeCell ref="J22:Q23"/>
    <mergeCell ref="A28:H29"/>
    <mergeCell ref="I28:I41"/>
    <mergeCell ref="J28:Q29"/>
    <mergeCell ref="A42:H43"/>
    <mergeCell ref="I42:I58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9C071-6894-4CCD-95BD-3C7B8A4B2A16}">
  <dimension ref="A1:Q57"/>
  <sheetViews>
    <sheetView tabSelected="1" topLeftCell="A27" zoomScaleNormal="100" workbookViewId="0">
      <selection activeCell="D50" sqref="D50"/>
    </sheetView>
  </sheetViews>
  <sheetFormatPr defaultRowHeight="14.25" x14ac:dyDescent="0.2"/>
  <cols>
    <col min="1" max="1" width="6.5" bestFit="1" customWidth="1"/>
    <col min="2" max="2" width="14.625" bestFit="1" customWidth="1"/>
    <col min="3" max="3" width="22.25" bestFit="1" customWidth="1"/>
    <col min="4" max="4" width="11.375" bestFit="1" customWidth="1"/>
    <col min="5" max="5" width="4.125" bestFit="1" customWidth="1"/>
    <col min="6" max="6" width="42.125" bestFit="1" customWidth="1"/>
    <col min="7" max="8" width="6.5" bestFit="1" customWidth="1"/>
    <col min="9" max="9" width="34.75" bestFit="1" customWidth="1"/>
    <col min="10" max="10" width="6.5" bestFit="1" customWidth="1"/>
    <col min="11" max="11" width="13.125" bestFit="1" customWidth="1"/>
    <col min="12" max="12" width="19" bestFit="1" customWidth="1"/>
    <col min="13" max="13" width="11.375" bestFit="1" customWidth="1"/>
    <col min="14" max="14" width="4.125" bestFit="1" customWidth="1"/>
    <col min="15" max="15" width="37.125" bestFit="1" customWidth="1"/>
    <col min="16" max="17" width="6.5" bestFit="1" customWidth="1"/>
  </cols>
  <sheetData>
    <row r="1" spans="1:17" ht="18" x14ac:dyDescent="0.2">
      <c r="A1" s="1" t="s">
        <v>6</v>
      </c>
      <c r="B1" s="1" t="s">
        <v>7</v>
      </c>
      <c r="C1" s="1" t="s">
        <v>8</v>
      </c>
      <c r="D1" s="1" t="s">
        <v>10</v>
      </c>
      <c r="E1" s="1" t="s">
        <v>12</v>
      </c>
      <c r="F1" s="1" t="s">
        <v>13</v>
      </c>
      <c r="G1" s="1" t="s">
        <v>11</v>
      </c>
      <c r="H1" s="1" t="s">
        <v>9</v>
      </c>
      <c r="I1" s="2" t="s">
        <v>20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12</v>
      </c>
      <c r="O1" s="3" t="s">
        <v>13</v>
      </c>
      <c r="P1" s="3" t="s">
        <v>11</v>
      </c>
      <c r="Q1" s="3" t="s">
        <v>9</v>
      </c>
    </row>
    <row r="2" spans="1:17" ht="14.25" customHeight="1" x14ac:dyDescent="0.2">
      <c r="A2" s="4" t="s">
        <v>0</v>
      </c>
      <c r="B2" s="5"/>
      <c r="C2" s="5"/>
      <c r="D2" s="5"/>
      <c r="E2" s="5"/>
      <c r="F2" s="5"/>
      <c r="G2" s="5"/>
      <c r="H2" s="6"/>
      <c r="I2" s="10" t="s">
        <v>21</v>
      </c>
      <c r="J2" s="12" t="s">
        <v>1</v>
      </c>
      <c r="K2" s="13"/>
      <c r="L2" s="13"/>
      <c r="M2" s="13"/>
      <c r="N2" s="13"/>
      <c r="O2" s="13"/>
      <c r="P2" s="13"/>
      <c r="Q2" s="14"/>
    </row>
    <row r="3" spans="1:17" ht="14.25" customHeight="1" x14ac:dyDescent="0.2">
      <c r="A3" s="7"/>
      <c r="B3" s="8"/>
      <c r="C3" s="8"/>
      <c r="D3" s="8"/>
      <c r="E3" s="8"/>
      <c r="F3" s="8"/>
      <c r="G3" s="8"/>
      <c r="H3" s="9"/>
      <c r="I3" s="11"/>
      <c r="J3" s="15"/>
      <c r="K3" s="16"/>
      <c r="L3" s="16"/>
      <c r="M3" s="16"/>
      <c r="N3" s="16"/>
      <c r="O3" s="16"/>
      <c r="P3" s="16"/>
      <c r="Q3" s="17"/>
    </row>
    <row r="4" spans="1:17" ht="14.25" customHeight="1" x14ac:dyDescent="0.2">
      <c r="H4">
        <v>200</v>
      </c>
      <c r="I4" s="11"/>
      <c r="K4" t="s">
        <v>22</v>
      </c>
      <c r="L4" t="s">
        <v>2</v>
      </c>
      <c r="M4">
        <v>0</v>
      </c>
      <c r="O4" t="s">
        <v>23</v>
      </c>
      <c r="Q4">
        <v>201</v>
      </c>
    </row>
    <row r="5" spans="1:17" ht="14.25" customHeight="1" x14ac:dyDescent="0.2">
      <c r="A5" s="4" t="s">
        <v>0</v>
      </c>
      <c r="B5" s="5"/>
      <c r="C5" s="5"/>
      <c r="D5" s="5"/>
      <c r="E5" s="5"/>
      <c r="F5" s="5"/>
      <c r="G5" s="5"/>
      <c r="H5" s="6"/>
      <c r="I5" s="10" t="s">
        <v>40</v>
      </c>
      <c r="J5" s="12" t="s">
        <v>1</v>
      </c>
      <c r="K5" s="13"/>
      <c r="L5" s="13"/>
      <c r="M5" s="13"/>
      <c r="N5" s="13"/>
      <c r="O5" s="13"/>
      <c r="P5" s="13"/>
      <c r="Q5" s="14"/>
    </row>
    <row r="6" spans="1:17" ht="14.25" customHeight="1" x14ac:dyDescent="0.2">
      <c r="A6" s="7"/>
      <c r="B6" s="8"/>
      <c r="C6" s="8"/>
      <c r="D6" s="8"/>
      <c r="E6" s="8"/>
      <c r="F6" s="8"/>
      <c r="G6" s="8"/>
      <c r="H6" s="9"/>
      <c r="I6" s="19"/>
      <c r="J6" s="15"/>
      <c r="K6" s="16"/>
      <c r="L6" s="16"/>
      <c r="M6" s="16"/>
      <c r="N6" s="16"/>
      <c r="O6" s="16"/>
      <c r="P6" s="16"/>
      <c r="Q6" s="17"/>
    </row>
    <row r="7" spans="1:17" ht="14.25" customHeight="1" x14ac:dyDescent="0.2">
      <c r="B7" t="s">
        <v>24</v>
      </c>
      <c r="C7" t="s">
        <v>2</v>
      </c>
      <c r="D7">
        <v>100</v>
      </c>
      <c r="F7" t="s">
        <v>73</v>
      </c>
      <c r="I7" s="19"/>
      <c r="K7" t="s">
        <v>14</v>
      </c>
      <c r="L7" t="s">
        <v>2</v>
      </c>
      <c r="M7">
        <v>100</v>
      </c>
      <c r="N7">
        <v>0</v>
      </c>
      <c r="O7" t="s">
        <v>74</v>
      </c>
    </row>
    <row r="8" spans="1:17" ht="14.25" customHeight="1" x14ac:dyDescent="0.2">
      <c r="B8" t="s">
        <v>5</v>
      </c>
      <c r="C8" t="s">
        <v>4</v>
      </c>
      <c r="D8">
        <f>D7+2</f>
        <v>102</v>
      </c>
      <c r="F8" t="s">
        <v>80</v>
      </c>
      <c r="I8" s="19"/>
      <c r="K8" t="s">
        <v>16</v>
      </c>
      <c r="L8" t="s">
        <v>17</v>
      </c>
      <c r="M8">
        <f>M7+2</f>
        <v>102</v>
      </c>
      <c r="O8" t="s">
        <v>75</v>
      </c>
    </row>
    <row r="9" spans="1:17" ht="14.25" customHeight="1" x14ac:dyDescent="0.2">
      <c r="B9" t="s">
        <v>85</v>
      </c>
      <c r="D9">
        <f>D8+26</f>
        <v>128</v>
      </c>
      <c r="I9" s="18"/>
      <c r="K9" t="s">
        <v>87</v>
      </c>
      <c r="M9">
        <f>M8+2</f>
        <v>104</v>
      </c>
    </row>
    <row r="10" spans="1:17" ht="14.25" customHeight="1" x14ac:dyDescent="0.2">
      <c r="A10" s="4" t="s">
        <v>0</v>
      </c>
      <c r="B10" s="5"/>
      <c r="C10" s="5"/>
      <c r="D10" s="5"/>
      <c r="E10" s="5"/>
      <c r="F10" s="5"/>
      <c r="G10" s="5"/>
      <c r="H10" s="6"/>
      <c r="I10" s="10" t="s">
        <v>76</v>
      </c>
      <c r="J10" s="12" t="s">
        <v>1</v>
      </c>
      <c r="K10" s="13"/>
      <c r="L10" s="13"/>
      <c r="M10" s="13"/>
      <c r="N10" s="13"/>
      <c r="O10" s="13"/>
      <c r="P10" s="13"/>
      <c r="Q10" s="14"/>
    </row>
    <row r="11" spans="1:17" ht="14.25" customHeight="1" x14ac:dyDescent="0.2">
      <c r="A11" s="7"/>
      <c r="B11" s="8"/>
      <c r="C11" s="8"/>
      <c r="D11" s="8"/>
      <c r="E11" s="8"/>
      <c r="F11" s="8"/>
      <c r="G11" s="8"/>
      <c r="H11" s="9"/>
      <c r="I11" s="19"/>
      <c r="J11" s="15"/>
      <c r="K11" s="16"/>
      <c r="L11" s="16"/>
      <c r="M11" s="16"/>
      <c r="N11" s="16"/>
      <c r="O11" s="16"/>
      <c r="P11" s="16"/>
      <c r="Q11" s="17"/>
    </row>
    <row r="12" spans="1:17" ht="14.25" customHeight="1" x14ac:dyDescent="0.2">
      <c r="B12" t="s">
        <v>24</v>
      </c>
      <c r="C12" t="s">
        <v>2</v>
      </c>
      <c r="D12">
        <f>D9+72</f>
        <v>200</v>
      </c>
      <c r="F12" t="s">
        <v>3</v>
      </c>
      <c r="I12" s="19"/>
      <c r="K12" t="s">
        <v>14</v>
      </c>
      <c r="L12" t="s">
        <v>2</v>
      </c>
      <c r="M12">
        <f>M9+96</f>
        <v>200</v>
      </c>
      <c r="O12" t="s">
        <v>15</v>
      </c>
    </row>
    <row r="13" spans="1:17" ht="14.25" customHeight="1" x14ac:dyDescent="0.2">
      <c r="B13" t="s">
        <v>5</v>
      </c>
      <c r="C13" t="s">
        <v>4</v>
      </c>
      <c r="D13">
        <f>D12+2</f>
        <v>202</v>
      </c>
      <c r="F13" t="s">
        <v>80</v>
      </c>
      <c r="I13" s="19"/>
      <c r="K13" t="s">
        <v>16</v>
      </c>
      <c r="L13" t="s">
        <v>17</v>
      </c>
      <c r="M13">
        <f>M12+2</f>
        <v>202</v>
      </c>
      <c r="O13" t="s">
        <v>18</v>
      </c>
    </row>
    <row r="14" spans="1:17" ht="14.25" customHeight="1" x14ac:dyDescent="0.2">
      <c r="B14" t="s">
        <v>78</v>
      </c>
      <c r="C14" t="s">
        <v>4</v>
      </c>
      <c r="D14">
        <f>D13+26</f>
        <v>228</v>
      </c>
      <c r="F14" t="s">
        <v>81</v>
      </c>
      <c r="I14" s="19"/>
      <c r="K14" t="s">
        <v>87</v>
      </c>
      <c r="M14">
        <f>M13+2</f>
        <v>204</v>
      </c>
    </row>
    <row r="15" spans="1:17" ht="14.25" customHeight="1" x14ac:dyDescent="0.2">
      <c r="B15" t="s">
        <v>86</v>
      </c>
      <c r="D15">
        <f>D14+26</f>
        <v>254</v>
      </c>
      <c r="I15" s="18"/>
    </row>
    <row r="16" spans="1:17" ht="14.25" customHeight="1" x14ac:dyDescent="0.2">
      <c r="A16" s="4" t="s">
        <v>0</v>
      </c>
      <c r="B16" s="5"/>
      <c r="C16" s="5"/>
      <c r="D16" s="5"/>
      <c r="E16" s="5"/>
      <c r="F16" s="5"/>
      <c r="G16" s="5"/>
      <c r="H16" s="6"/>
      <c r="I16" s="10" t="s">
        <v>60</v>
      </c>
      <c r="J16" s="12" t="s">
        <v>1</v>
      </c>
      <c r="K16" s="13"/>
      <c r="L16" s="13"/>
      <c r="M16" s="13"/>
      <c r="N16" s="13"/>
      <c r="O16" s="13"/>
      <c r="P16" s="13"/>
      <c r="Q16" s="14"/>
    </row>
    <row r="17" spans="1:17" ht="14.25" customHeight="1" x14ac:dyDescent="0.2">
      <c r="A17" s="7"/>
      <c r="B17" s="8"/>
      <c r="C17" s="8"/>
      <c r="D17" s="8"/>
      <c r="E17" s="8"/>
      <c r="F17" s="8"/>
      <c r="G17" s="8"/>
      <c r="H17" s="9"/>
      <c r="I17" s="19"/>
      <c r="J17" s="15"/>
      <c r="K17" s="16"/>
      <c r="L17" s="16"/>
      <c r="M17" s="16"/>
      <c r="N17" s="16"/>
      <c r="O17" s="16"/>
      <c r="P17" s="16"/>
      <c r="Q17" s="17"/>
    </row>
    <row r="18" spans="1:17" ht="14.25" customHeight="1" x14ac:dyDescent="0.2">
      <c r="B18" t="s">
        <v>24</v>
      </c>
      <c r="C18" t="s">
        <v>2</v>
      </c>
      <c r="D18">
        <f>D15+46</f>
        <v>300</v>
      </c>
      <c r="F18" t="s">
        <v>3</v>
      </c>
      <c r="I18" s="19"/>
      <c r="K18" t="s">
        <v>14</v>
      </c>
      <c r="L18" t="s">
        <v>2</v>
      </c>
      <c r="M18">
        <f>M14+96</f>
        <v>300</v>
      </c>
      <c r="O18" t="s">
        <v>15</v>
      </c>
    </row>
    <row r="19" spans="1:17" ht="14.25" customHeight="1" x14ac:dyDescent="0.2">
      <c r="B19" t="s">
        <v>5</v>
      </c>
      <c r="C19" t="s">
        <v>4</v>
      </c>
      <c r="D19">
        <f>D18+2</f>
        <v>302</v>
      </c>
      <c r="F19" t="s">
        <v>39</v>
      </c>
      <c r="I19" s="19"/>
      <c r="K19" t="s">
        <v>16</v>
      </c>
      <c r="L19" t="s">
        <v>17</v>
      </c>
      <c r="M19">
        <f>M18+2</f>
        <v>302</v>
      </c>
      <c r="O19" t="s">
        <v>18</v>
      </c>
    </row>
    <row r="20" spans="1:17" ht="14.25" customHeight="1" x14ac:dyDescent="0.2">
      <c r="B20" t="s">
        <v>77</v>
      </c>
      <c r="C20" t="s">
        <v>4</v>
      </c>
      <c r="D20">
        <f>D19+26</f>
        <v>328</v>
      </c>
      <c r="F20" t="s">
        <v>61</v>
      </c>
      <c r="I20" s="19"/>
      <c r="K20" t="s">
        <v>87</v>
      </c>
      <c r="M20">
        <f>M19+2</f>
        <v>304</v>
      </c>
    </row>
    <row r="21" spans="1:17" ht="14.25" customHeight="1" x14ac:dyDescent="0.2">
      <c r="B21" t="s">
        <v>86</v>
      </c>
      <c r="D21">
        <f>D20+26</f>
        <v>354</v>
      </c>
      <c r="I21" s="18"/>
    </row>
    <row r="22" spans="1:17" ht="14.25" customHeight="1" x14ac:dyDescent="0.2">
      <c r="A22" s="4" t="s">
        <v>0</v>
      </c>
      <c r="B22" s="5"/>
      <c r="C22" s="5"/>
      <c r="D22" s="5"/>
      <c r="E22" s="5"/>
      <c r="F22" s="5"/>
      <c r="G22" s="5"/>
      <c r="H22" s="6"/>
      <c r="I22" s="10" t="s">
        <v>82</v>
      </c>
      <c r="J22" s="12" t="s">
        <v>1</v>
      </c>
      <c r="K22" s="13"/>
      <c r="L22" s="13"/>
      <c r="M22" s="13"/>
      <c r="N22" s="13"/>
      <c r="O22" s="13"/>
      <c r="P22" s="13"/>
      <c r="Q22" s="14"/>
    </row>
    <row r="23" spans="1:17" ht="14.25" customHeight="1" x14ac:dyDescent="0.2">
      <c r="A23" s="7"/>
      <c r="B23" s="8"/>
      <c r="C23" s="8"/>
      <c r="D23" s="8"/>
      <c r="E23" s="8"/>
      <c r="F23" s="8"/>
      <c r="G23" s="8"/>
      <c r="H23" s="9"/>
      <c r="I23" s="19"/>
      <c r="J23" s="15"/>
      <c r="K23" s="16"/>
      <c r="L23" s="16"/>
      <c r="M23" s="16"/>
      <c r="N23" s="16"/>
      <c r="O23" s="16"/>
      <c r="P23" s="16"/>
      <c r="Q23" s="17"/>
    </row>
    <row r="24" spans="1:17" ht="14.25" customHeight="1" x14ac:dyDescent="0.2">
      <c r="B24" t="s">
        <v>24</v>
      </c>
      <c r="C24" t="s">
        <v>2</v>
      </c>
      <c r="D24">
        <f>D21+46</f>
        <v>400</v>
      </c>
      <c r="F24" t="s">
        <v>3</v>
      </c>
      <c r="I24" s="19"/>
      <c r="K24" t="s">
        <v>14</v>
      </c>
      <c r="L24" t="s">
        <v>2</v>
      </c>
      <c r="M24">
        <f>M20+96</f>
        <v>400</v>
      </c>
      <c r="O24" t="s">
        <v>15</v>
      </c>
    </row>
    <row r="25" spans="1:17" ht="14.25" customHeight="1" x14ac:dyDescent="0.2">
      <c r="B25" t="s">
        <v>88</v>
      </c>
      <c r="D25">
        <f>D24+2</f>
        <v>402</v>
      </c>
      <c r="I25" s="19"/>
      <c r="K25" t="s">
        <v>16</v>
      </c>
      <c r="L25" t="s">
        <v>17</v>
      </c>
      <c r="M25">
        <f>M24+2</f>
        <v>402</v>
      </c>
      <c r="O25" t="s">
        <v>18</v>
      </c>
    </row>
    <row r="26" spans="1:17" ht="14.25" customHeight="1" x14ac:dyDescent="0.2">
      <c r="I26" s="19"/>
      <c r="K26" t="s">
        <v>78</v>
      </c>
      <c r="L26" t="s">
        <v>4</v>
      </c>
      <c r="M26">
        <f>M25+2</f>
        <v>404</v>
      </c>
      <c r="O26" t="s">
        <v>83</v>
      </c>
    </row>
    <row r="27" spans="1:17" ht="14.25" customHeight="1" x14ac:dyDescent="0.2">
      <c r="I27" s="18"/>
      <c r="K27" t="s">
        <v>90</v>
      </c>
      <c r="M27">
        <f>M26+26</f>
        <v>430</v>
      </c>
    </row>
    <row r="28" spans="1:17" ht="14.25" customHeight="1" x14ac:dyDescent="0.2">
      <c r="A28" s="4" t="s">
        <v>0</v>
      </c>
      <c r="B28" s="5"/>
      <c r="C28" s="5"/>
      <c r="D28" s="5"/>
      <c r="E28" s="5"/>
      <c r="F28" s="5"/>
      <c r="G28" s="5"/>
      <c r="H28" s="6"/>
      <c r="I28" s="20" t="s">
        <v>59</v>
      </c>
      <c r="J28" s="12" t="s">
        <v>1</v>
      </c>
      <c r="K28" s="13"/>
      <c r="L28" s="13"/>
      <c r="M28" s="13"/>
      <c r="N28" s="13"/>
      <c r="O28" s="13"/>
      <c r="P28" s="13"/>
      <c r="Q28" s="14"/>
    </row>
    <row r="29" spans="1:17" ht="14.25" customHeight="1" x14ac:dyDescent="0.2">
      <c r="A29" s="7"/>
      <c r="B29" s="8"/>
      <c r="C29" s="8"/>
      <c r="D29" s="8"/>
      <c r="E29" s="8"/>
      <c r="F29" s="8"/>
      <c r="G29" s="8"/>
      <c r="H29" s="9"/>
      <c r="I29" s="21"/>
      <c r="J29" s="15"/>
      <c r="K29" s="16"/>
      <c r="L29" s="16"/>
      <c r="M29" s="16"/>
      <c r="N29" s="16"/>
      <c r="O29" s="16"/>
      <c r="P29" s="16"/>
      <c r="Q29" s="17"/>
    </row>
    <row r="30" spans="1:17" ht="14.25" customHeight="1" x14ac:dyDescent="0.2">
      <c r="B30" t="s">
        <v>24</v>
      </c>
      <c r="C30" t="s">
        <v>2</v>
      </c>
      <c r="D30">
        <f>D25+98</f>
        <v>500</v>
      </c>
      <c r="F30" t="s">
        <v>3</v>
      </c>
      <c r="I30" s="21"/>
      <c r="K30" t="s">
        <v>14</v>
      </c>
      <c r="L30" t="s">
        <v>2</v>
      </c>
      <c r="M30">
        <f>M27+70</f>
        <v>500</v>
      </c>
      <c r="O30" t="s">
        <v>15</v>
      </c>
    </row>
    <row r="31" spans="1:17" ht="14.25" customHeight="1" x14ac:dyDescent="0.2">
      <c r="B31" t="s">
        <v>27</v>
      </c>
      <c r="C31" t="s">
        <v>19</v>
      </c>
      <c r="D31">
        <f>D30+2</f>
        <v>502</v>
      </c>
      <c r="F31" t="s">
        <v>33</v>
      </c>
      <c r="I31" s="21"/>
      <c r="K31" t="s">
        <v>16</v>
      </c>
      <c r="L31" t="s">
        <v>17</v>
      </c>
      <c r="M31">
        <f>M30+2</f>
        <v>502</v>
      </c>
      <c r="O31" t="s">
        <v>18</v>
      </c>
    </row>
    <row r="32" spans="1:17" ht="14.25" customHeight="1" x14ac:dyDescent="0.2">
      <c r="B32" t="s">
        <v>28</v>
      </c>
      <c r="C32" t="s">
        <v>19</v>
      </c>
      <c r="D32">
        <f>D31+4</f>
        <v>506</v>
      </c>
      <c r="F32" t="s">
        <v>34</v>
      </c>
      <c r="I32" s="21"/>
      <c r="K32" t="s">
        <v>87</v>
      </c>
      <c r="M32">
        <f>M31+2</f>
        <v>504</v>
      </c>
    </row>
    <row r="33" spans="1:17" ht="14.25" customHeight="1" x14ac:dyDescent="0.2">
      <c r="B33" t="s">
        <v>29</v>
      </c>
      <c r="C33" t="s">
        <v>19</v>
      </c>
      <c r="D33">
        <f t="shared" ref="D33:D40" si="0">D32+4</f>
        <v>510</v>
      </c>
      <c r="F33" t="s">
        <v>35</v>
      </c>
      <c r="I33" s="21"/>
    </row>
    <row r="34" spans="1:17" ht="14.25" customHeight="1" x14ac:dyDescent="0.2">
      <c r="B34" t="s">
        <v>30</v>
      </c>
      <c r="C34" t="s">
        <v>19</v>
      </c>
      <c r="D34">
        <f t="shared" si="0"/>
        <v>514</v>
      </c>
      <c r="F34" t="s">
        <v>36</v>
      </c>
      <c r="I34" s="21"/>
    </row>
    <row r="35" spans="1:17" ht="14.25" customHeight="1" x14ac:dyDescent="0.2">
      <c r="B35" t="s">
        <v>31</v>
      </c>
      <c r="C35" t="s">
        <v>19</v>
      </c>
      <c r="D35">
        <f t="shared" si="0"/>
        <v>518</v>
      </c>
      <c r="F35" t="s">
        <v>37</v>
      </c>
      <c r="I35" s="21"/>
    </row>
    <row r="36" spans="1:17" ht="14.25" customHeight="1" x14ac:dyDescent="0.2">
      <c r="B36" t="s">
        <v>32</v>
      </c>
      <c r="C36" t="s">
        <v>19</v>
      </c>
      <c r="D36">
        <f t="shared" si="0"/>
        <v>522</v>
      </c>
      <c r="F36" t="s">
        <v>38</v>
      </c>
      <c r="I36" s="21"/>
    </row>
    <row r="37" spans="1:17" ht="14.25" customHeight="1" x14ac:dyDescent="0.2">
      <c r="B37" t="s">
        <v>41</v>
      </c>
      <c r="C37" t="s">
        <v>19</v>
      </c>
      <c r="D37">
        <f t="shared" si="0"/>
        <v>526</v>
      </c>
      <c r="F37" t="s">
        <v>45</v>
      </c>
      <c r="I37" s="21"/>
    </row>
    <row r="38" spans="1:17" ht="14.25" customHeight="1" x14ac:dyDescent="0.2">
      <c r="B38" t="s">
        <v>42</v>
      </c>
      <c r="C38" t="s">
        <v>19</v>
      </c>
      <c r="D38">
        <f t="shared" si="0"/>
        <v>530</v>
      </c>
      <c r="F38" t="s">
        <v>46</v>
      </c>
      <c r="I38" s="21"/>
    </row>
    <row r="39" spans="1:17" ht="14.25" customHeight="1" x14ac:dyDescent="0.2">
      <c r="B39" t="s">
        <v>43</v>
      </c>
      <c r="C39" t="s">
        <v>19</v>
      </c>
      <c r="D39">
        <f t="shared" si="0"/>
        <v>534</v>
      </c>
      <c r="F39" t="s">
        <v>47</v>
      </c>
      <c r="I39" s="21"/>
    </row>
    <row r="40" spans="1:17" ht="14.25" customHeight="1" x14ac:dyDescent="0.2">
      <c r="B40" t="s">
        <v>44</v>
      </c>
      <c r="C40" t="s">
        <v>19</v>
      </c>
      <c r="D40">
        <f t="shared" si="0"/>
        <v>538</v>
      </c>
      <c r="F40" t="s">
        <v>48</v>
      </c>
      <c r="I40" s="21"/>
    </row>
    <row r="41" spans="1:17" ht="25.5" customHeight="1" x14ac:dyDescent="0.2">
      <c r="B41" t="s">
        <v>89</v>
      </c>
      <c r="D41">
        <f>D40+4</f>
        <v>542</v>
      </c>
      <c r="I41" s="22"/>
    </row>
    <row r="42" spans="1:17" ht="14.25" customHeight="1" x14ac:dyDescent="0.2">
      <c r="A42" s="4" t="s">
        <v>0</v>
      </c>
      <c r="B42" s="5"/>
      <c r="C42" s="5"/>
      <c r="D42" s="5"/>
      <c r="E42" s="5"/>
      <c r="F42" s="5"/>
      <c r="G42" s="5"/>
      <c r="H42" s="6"/>
      <c r="I42" s="10" t="s">
        <v>62</v>
      </c>
      <c r="J42" s="12" t="s">
        <v>1</v>
      </c>
      <c r="K42" s="13"/>
      <c r="L42" s="13"/>
      <c r="M42" s="13"/>
      <c r="N42" s="13"/>
      <c r="O42" s="13"/>
      <c r="P42" s="13"/>
      <c r="Q42" s="14"/>
    </row>
    <row r="43" spans="1:17" ht="14.25" customHeight="1" x14ac:dyDescent="0.2">
      <c r="A43" s="7"/>
      <c r="B43" s="8"/>
      <c r="C43" s="8"/>
      <c r="D43" s="8"/>
      <c r="E43" s="8"/>
      <c r="F43" s="8"/>
      <c r="G43" s="8"/>
      <c r="H43" s="9"/>
      <c r="I43" s="19"/>
      <c r="J43" s="15"/>
      <c r="K43" s="16"/>
      <c r="L43" s="16"/>
      <c r="M43" s="16"/>
      <c r="N43" s="16"/>
      <c r="O43" s="16"/>
      <c r="P43" s="16"/>
      <c r="Q43" s="17"/>
    </row>
    <row r="44" spans="1:17" ht="14.25" customHeight="1" x14ac:dyDescent="0.2">
      <c r="B44" t="s">
        <v>24</v>
      </c>
      <c r="C44" t="s">
        <v>2</v>
      </c>
      <c r="D44">
        <f>D41+58</f>
        <v>600</v>
      </c>
      <c r="F44" t="s">
        <v>3</v>
      </c>
      <c r="I44" s="19"/>
      <c r="K44" t="s">
        <v>14</v>
      </c>
      <c r="L44" t="s">
        <v>2</v>
      </c>
      <c r="M44">
        <f>M32+96</f>
        <v>600</v>
      </c>
      <c r="O44" t="s">
        <v>15</v>
      </c>
    </row>
    <row r="45" spans="1:17" ht="14.25" customHeight="1" x14ac:dyDescent="0.2">
      <c r="B45" t="s">
        <v>5</v>
      </c>
      <c r="C45" t="s">
        <v>79</v>
      </c>
      <c r="D45">
        <f>D44+2</f>
        <v>602</v>
      </c>
      <c r="F45" t="s">
        <v>80</v>
      </c>
      <c r="I45" s="19"/>
      <c r="K45" t="s">
        <v>16</v>
      </c>
      <c r="L45" t="s">
        <v>17</v>
      </c>
      <c r="M45">
        <f>M44+2</f>
        <v>602</v>
      </c>
      <c r="O45" t="s">
        <v>18</v>
      </c>
    </row>
    <row r="46" spans="1:17" ht="14.25" customHeight="1" x14ac:dyDescent="0.2">
      <c r="B46" t="s">
        <v>108</v>
      </c>
      <c r="C46" t="s">
        <v>104</v>
      </c>
      <c r="D46">
        <f>D45+2</f>
        <v>604</v>
      </c>
      <c r="F46" t="s">
        <v>106</v>
      </c>
      <c r="I46" s="19"/>
    </row>
    <row r="47" spans="1:17" ht="14.25" customHeight="1" x14ac:dyDescent="0.2">
      <c r="I47" s="19"/>
    </row>
    <row r="48" spans="1:17" ht="14.25" customHeight="1" x14ac:dyDescent="0.2">
      <c r="I48" s="19"/>
    </row>
    <row r="49" spans="9:9" ht="14.25" customHeight="1" x14ac:dyDescent="0.2">
      <c r="I49" s="19"/>
    </row>
    <row r="50" spans="9:9" ht="14.25" customHeight="1" x14ac:dyDescent="0.2">
      <c r="I50" s="19"/>
    </row>
    <row r="51" spans="9:9" ht="14.25" customHeight="1" x14ac:dyDescent="0.2">
      <c r="I51" s="19"/>
    </row>
    <row r="52" spans="9:9" ht="14.25" customHeight="1" x14ac:dyDescent="0.2">
      <c r="I52" s="19"/>
    </row>
    <row r="53" spans="9:9" ht="14.25" customHeight="1" x14ac:dyDescent="0.2">
      <c r="I53" s="19"/>
    </row>
    <row r="54" spans="9:9" ht="14.25" customHeight="1" x14ac:dyDescent="0.2">
      <c r="I54" s="19"/>
    </row>
    <row r="55" spans="9:9" ht="14.25" customHeight="1" x14ac:dyDescent="0.2">
      <c r="I55" s="19"/>
    </row>
    <row r="56" spans="9:9" ht="14.25" customHeight="1" x14ac:dyDescent="0.2">
      <c r="I56" s="19"/>
    </row>
    <row r="57" spans="9:9" x14ac:dyDescent="0.2">
      <c r="I57" s="18"/>
    </row>
  </sheetData>
  <mergeCells count="21">
    <mergeCell ref="A42:H43"/>
    <mergeCell ref="I42:I57"/>
    <mergeCell ref="J42:Q43"/>
    <mergeCell ref="A22:H23"/>
    <mergeCell ref="I22:I27"/>
    <mergeCell ref="J22:Q23"/>
    <mergeCell ref="A28:H29"/>
    <mergeCell ref="I28:I41"/>
    <mergeCell ref="J28:Q29"/>
    <mergeCell ref="A10:H11"/>
    <mergeCell ref="I10:I15"/>
    <mergeCell ref="J10:Q11"/>
    <mergeCell ref="A16:H17"/>
    <mergeCell ref="I16:I21"/>
    <mergeCell ref="J16:Q17"/>
    <mergeCell ref="A2:H3"/>
    <mergeCell ref="I2:I4"/>
    <mergeCell ref="J2:Q3"/>
    <mergeCell ref="A5:H6"/>
    <mergeCell ref="I5:I9"/>
    <mergeCell ref="J5:Q6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9E19B-5510-4255-9F9D-936634CAF6CC}">
  <dimension ref="E10:G15"/>
  <sheetViews>
    <sheetView workbookViewId="0">
      <selection activeCell="F13" sqref="F13"/>
    </sheetView>
  </sheetViews>
  <sheetFormatPr defaultRowHeight="14.25" x14ac:dyDescent="0.2"/>
  <cols>
    <col min="2" max="2" width="12.5" bestFit="1" customWidth="1"/>
    <col min="5" max="5" width="12.5" bestFit="1" customWidth="1"/>
    <col min="6" max="6" width="9" bestFit="1" customWidth="1"/>
  </cols>
  <sheetData>
    <row r="10" spans="5:7" x14ac:dyDescent="0.2">
      <c r="E10" s="23" t="s">
        <v>7</v>
      </c>
      <c r="F10" s="23" t="s">
        <v>8</v>
      </c>
      <c r="G10" s="23" t="s">
        <v>110</v>
      </c>
    </row>
    <row r="11" spans="5:7" x14ac:dyDescent="0.2">
      <c r="E11" s="24" t="s">
        <v>99</v>
      </c>
      <c r="F11" s="24" t="s">
        <v>103</v>
      </c>
      <c r="G11" s="24" t="s">
        <v>111</v>
      </c>
    </row>
    <row r="12" spans="5:7" x14ac:dyDescent="0.2">
      <c r="E12" s="24" t="s">
        <v>100</v>
      </c>
      <c r="F12" s="24" t="s">
        <v>103</v>
      </c>
      <c r="G12" s="24" t="s">
        <v>112</v>
      </c>
    </row>
    <row r="13" spans="5:7" x14ac:dyDescent="0.2">
      <c r="E13" s="24" t="s">
        <v>115</v>
      </c>
      <c r="F13" s="24" t="s">
        <v>103</v>
      </c>
      <c r="G13" s="24" t="s">
        <v>116</v>
      </c>
    </row>
    <row r="14" spans="5:7" x14ac:dyDescent="0.2">
      <c r="E14" s="24" t="s">
        <v>101</v>
      </c>
      <c r="F14" s="24" t="s">
        <v>105</v>
      </c>
      <c r="G14" s="24" t="s">
        <v>113</v>
      </c>
    </row>
    <row r="15" spans="5:7" x14ac:dyDescent="0.2">
      <c r="E15" s="24" t="s">
        <v>102</v>
      </c>
      <c r="F15" s="24" t="s">
        <v>105</v>
      </c>
      <c r="G15" s="24" t="s">
        <v>114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下箱体上线</vt:lpstr>
      <vt:lpstr>下箱体涂胶</vt:lpstr>
      <vt:lpstr>模组入箱(LY_PL57使用)</vt:lpstr>
      <vt:lpstr>肩部涂胶</vt:lpstr>
      <vt:lpstr>压条自动加压和拧紧</vt:lpstr>
      <vt:lpstr>上盖拧紧</vt:lpstr>
      <vt:lpstr>拧紧Array参数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2026-01-20T07:04:41Z</dcterms:modified>
</cp:coreProperties>
</file>