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zhiyun.qin"/>
  <workbookPr/>
  <bookViews>
    <workbookView activeTab="0" xWindow="240" yWindow="60" windowWidth="29040" windowHeight="15840" tabRatio="723"/>
  </bookViews>
  <sheets>
    <sheet name="修订记录" sheetId="1" r:id="rId4"/>
    <sheet name="下箱体涂胶" sheetId="2" r:id="rId5"/>
    <sheet name="正置加压" sheetId="3" r:id="rId6"/>
    <sheet name="Beam间隙涂胶" sheetId="4" r:id="rId7"/>
    <sheet name="肩部涂胶" sheetId="5" r:id="rId8"/>
    <sheet name="压条加压" sheetId="6" r:id="rId9"/>
    <sheet name="上盖拧紧" sheetId="7" r:id="rId10"/>
    <sheet name="拧紧Array参数" sheetId="8" r:id="rId11"/>
    <sheet name="Beam底部间隙涂胶" sheetId="9" r:id="rId12"/>
    <sheet name="涂胶Array参数" sheetId="10" r:id="rId13"/>
  </sheets>
  <calcPr/>
  <extLst>
    <ext uri="smNativeData">
      <pm:revision xmlns:pm="smNativeData" day="1773736424" val="1230" rev="124" revOS="4" revMin="124" revMax="0"/>
      <pm:docPrefs xmlns:pm="smNativeData" id="1773736424" fixedDigits="0" showNotice="1" showFrameBounds="1" autoChart="1" recalcOnPrint="1" recalcOnCopy="1" finalRounding="1" compatTextArt="1" tab="567" useDefinedPrintRange="1" printArea="currentSheet"/>
      <pm:compatibility xmlns:pm="smNativeData" id="1773736424" overlapCells="1"/>
      <pm:defCurrency xmlns:pm="smNativeData" id="1773736424"/>
    </ext>
  </extLst>
</workbook>
</file>

<file path=xl/sharedStrings.xml><?xml version="1.0" encoding="utf-8"?>
<sst xmlns="http://schemas.openxmlformats.org/spreadsheetml/2006/main" count="1412" uniqueCount="151">
  <si>
    <t>版本号</t>
  </si>
  <si>
    <t>修订说明</t>
  </si>
  <si>
    <t>v1.0</t>
  </si>
  <si>
    <t>初始版</t>
  </si>
  <si>
    <t>v1.1</t>
  </si>
  <si>
    <t>应客户要求，将PLC和上位机的交互DB地址由2个DB合并为1个DB</t>
  </si>
  <si>
    <t>暂定PLC和上位机的DB地址都为200；PLC的点位从0开始至4000结束，上位机的点位从4000开始至8000结束</t>
  </si>
  <si>
    <t>v1.2</t>
  </si>
  <si>
    <t>所有涂胶工位：首件数据收集由原本的10条增加至20条；过程参数的数据结构由Real改为涂胶Array参数</t>
  </si>
  <si>
    <t>序号</t>
  </si>
  <si>
    <t>变量名</t>
  </si>
  <si>
    <t>数据类型</t>
  </si>
  <si>
    <t>起始地址</t>
  </si>
  <si>
    <t>位</t>
  </si>
  <si>
    <t>定义</t>
  </si>
  <si>
    <t>长度</t>
  </si>
  <si>
    <t>DB</t>
  </si>
  <si>
    <t>接口</t>
  </si>
  <si>
    <t>PLC====&gt;上位机</t>
  </si>
  <si>
    <t>通用</t>
  </si>
  <si>
    <t>上位机====&gt;PLC</t>
  </si>
  <si>
    <t>预留100个字节</t>
  </si>
  <si>
    <t>Heartbeat</t>
  </si>
  <si>
    <t>Bool</t>
  </si>
  <si>
    <t>心跳，上位机每500MS取反写入一次</t>
  </si>
  <si>
    <t>进站</t>
  </si>
  <si>
    <t>StartSignal</t>
  </si>
  <si>
    <t>触发信号：上位机检测上升沿后进行读取</t>
  </si>
  <si>
    <t>FinishSignal</t>
  </si>
  <si>
    <t>完成信号，PLC收到完成信号后进行判断</t>
  </si>
  <si>
    <t>SFC</t>
  </si>
  <si>
    <t>String[24]</t>
  </si>
  <si>
    <t>PACK码（String[24]实际占位26个字节）</t>
  </si>
  <si>
    <t>ResCode</t>
  </si>
  <si>
    <t>Int</t>
  </si>
  <si>
    <t>工厂MES返回代码，＞0NG，＝0合格。</t>
  </si>
  <si>
    <t>预留72个字节</t>
  </si>
  <si>
    <t>预留96个字节</t>
  </si>
  <si>
    <t>物料校验</t>
  </si>
  <si>
    <t>触发信号：上位机检测上升沿后进行读取</t>
  </si>
  <si>
    <t>完成信号，PLC收到完成信号后进行判断</t>
  </si>
  <si>
    <t>工厂MES返回代码，＞0NG，＝0合格。</t>
  </si>
  <si>
    <t>Code</t>
  </si>
  <si>
    <t>物料码（String[24]实际占位26个字节）</t>
  </si>
  <si>
    <t>预留46个字节</t>
  </si>
  <si>
    <t>装配</t>
  </si>
  <si>
    <t>PACK码</t>
  </si>
  <si>
    <t>ModuleCode</t>
  </si>
  <si>
    <t>模组码</t>
  </si>
  <si>
    <t>申请SFC</t>
  </si>
  <si>
    <t>预留98个字节</t>
  </si>
  <si>
    <t>申请的条码String[24]实际占位26个字节）</t>
  </si>
  <si>
    <t>预留70个字节</t>
  </si>
  <si>
    <t>首件</t>
  </si>
  <si>
    <t>SJSJSJ1</t>
  </si>
  <si>
    <t>Real</t>
  </si>
  <si>
    <t>首件数据收集1</t>
  </si>
  <si>
    <t>SJSJSJ2</t>
  </si>
  <si>
    <t>首件数据收集2</t>
  </si>
  <si>
    <t>SJSJSJ3</t>
  </si>
  <si>
    <t>首件数据收集3</t>
  </si>
  <si>
    <t>SJSJSJ4</t>
  </si>
  <si>
    <t>首件数据收集4</t>
  </si>
  <si>
    <t>SJSJSJ5</t>
  </si>
  <si>
    <t>首件数据收集5</t>
  </si>
  <si>
    <t>SJSJSJ6</t>
  </si>
  <si>
    <t>首件数据收集6</t>
  </si>
  <si>
    <t>SJSJSJ7</t>
  </si>
  <si>
    <t>首件数据收集7</t>
  </si>
  <si>
    <t>SJSJSJ8</t>
  </si>
  <si>
    <t>首件数据收集8</t>
  </si>
  <si>
    <t>SJSJSJ9</t>
  </si>
  <si>
    <t>首件数据收集9</t>
  </si>
  <si>
    <t>SJSJSJ10</t>
  </si>
  <si>
    <t>首件数据收集10</t>
  </si>
  <si>
    <t>SJSJSJ11</t>
  </si>
  <si>
    <t>首件数据收集11</t>
  </si>
  <si>
    <t>SJSJSJ12</t>
  </si>
  <si>
    <t>首件数据收集12</t>
  </si>
  <si>
    <t>SJSJSJ13</t>
  </si>
  <si>
    <t>首件数据收集13</t>
  </si>
  <si>
    <t>SJSJSJ14</t>
  </si>
  <si>
    <t>首件数据收集14</t>
  </si>
  <si>
    <t>SJSJSJ15</t>
  </si>
  <si>
    <t>首件数据收集15</t>
  </si>
  <si>
    <t>SJSJSJ16</t>
  </si>
  <si>
    <t>首件数据收集16</t>
  </si>
  <si>
    <t>SJSJSJ17</t>
  </si>
  <si>
    <t>首件数据收集17</t>
  </si>
  <si>
    <t>SJSJSJ18</t>
  </si>
  <si>
    <t>首件数据收集18</t>
  </si>
  <si>
    <t>SJSJSJ19</t>
  </si>
  <si>
    <t>首件数据收集19</t>
  </si>
  <si>
    <t>SJSJSJ20</t>
  </si>
  <si>
    <t>首件数据收集20</t>
  </si>
  <si>
    <t>预留58个字节</t>
  </si>
  <si>
    <t>过程参数收集</t>
  </si>
  <si>
    <t>String[24]</t>
  </si>
  <si>
    <t>JRKSSJ</t>
  </si>
  <si>
    <t>DTL</t>
  </si>
  <si>
    <t>开始时间</t>
  </si>
  <si>
    <t>预留196个字节</t>
  </si>
  <si>
    <t>GCCS</t>
  </si>
  <si>
    <t>Array[1...20] of 涂胶Array参数</t>
  </si>
  <si>
    <t>预留120个字节</t>
  </si>
  <si>
    <t>获取参数</t>
  </si>
  <si>
    <t>TJGCCS</t>
  </si>
  <si>
    <t>Array[1...200] of Real</t>
  </si>
  <si>
    <t>GCCS1</t>
  </si>
  <si>
    <t>过程参数1</t>
  </si>
  <si>
    <t>GCCS2</t>
  </si>
  <si>
    <t>过程参数2</t>
  </si>
  <si>
    <t>GCCS3</t>
  </si>
  <si>
    <t>过程参数3</t>
  </si>
  <si>
    <t>GCCS4</t>
  </si>
  <si>
    <t>过程参数4</t>
  </si>
  <si>
    <t>GCCS5</t>
  </si>
  <si>
    <t>过程参数5</t>
  </si>
  <si>
    <t>GCCS6</t>
  </si>
  <si>
    <t>过程参数6</t>
  </si>
  <si>
    <t>GCCS7</t>
  </si>
  <si>
    <t>过程参数7</t>
  </si>
  <si>
    <t>GCCS8</t>
  </si>
  <si>
    <t>过程参数8</t>
  </si>
  <si>
    <t>GCCS9</t>
  </si>
  <si>
    <t>过程参数9</t>
  </si>
  <si>
    <t>GCCS10</t>
  </si>
  <si>
    <t>过程参数10</t>
  </si>
  <si>
    <t>校验涂胶超时</t>
  </si>
  <si>
    <t>Array[1…20] of 涂胶Array参数</t>
  </si>
  <si>
    <t>过程参数</t>
  </si>
  <si>
    <t>NJJG</t>
  </si>
  <si>
    <t>Array[1…150] of 拧紧Array参数</t>
  </si>
  <si>
    <t>拧紧结果数组</t>
  </si>
  <si>
    <t>说明</t>
  </si>
  <si>
    <t>ResultOK</t>
  </si>
  <si>
    <t>Int</t>
  </si>
  <si>
    <t>拧紧结果</t>
  </si>
  <si>
    <t>OrderNo</t>
  </si>
  <si>
    <t>螺丝序号</t>
  </si>
  <si>
    <t>ProgramNo</t>
  </si>
  <si>
    <t>程序号</t>
  </si>
  <si>
    <t>TorqueResult</t>
  </si>
  <si>
    <t>Real</t>
  </si>
  <si>
    <t>扭矩结果</t>
  </si>
  <si>
    <t>AngleResult</t>
  </si>
  <si>
    <t>角度结果</t>
  </si>
  <si>
    <t>A胶流量</t>
  </si>
  <si>
    <t>B胶流量</t>
  </si>
  <si>
    <t>AB胶比例</t>
  </si>
  <si>
    <t>AB胶总胶重</t>
  </si>
</sst>
</file>

<file path=xl/styles.xml><?xml version="1.0" encoding="utf-8"?>
<styleSheet xmlns="http://schemas.openxmlformats.org/spreadsheetml/2006/main">
  <numFmts count="8">
    <numFmt numFmtId="5" formatCode="#,##0\ &quot;¥&quot;;\-#,##0\ &quot;¥&quot;"/>
    <numFmt numFmtId="6" formatCode="#,##0\ &quot;¥&quot;;[Red]\-#,##0\ &quot;¥&quot;"/>
    <numFmt numFmtId="7" formatCode="#,##0.00\ &quot;¥&quot;;\-#,##0.00\ &quot;¥&quot;"/>
    <numFmt numFmtId="8" formatCode="#,##0.00\ &quot;¥&quot;;[Red]\-#,##0.00\ &quot;¥&quot;"/>
    <numFmt numFmtId="42" formatCode="_-* #,##0\ &quot;¥&quot;_-;\-* #,##0\ &quot;¥&quot;_-;_-* &quot;-&quot;\ &quot;¥&quot;_-;_-@_-"/>
    <numFmt numFmtId="41" formatCode="_-* #,##0\ _¥_-;\-* #,##0\ _¥_-;_-* &quot;-&quot;\ _¥_-;_-@_-"/>
    <numFmt numFmtId="44" formatCode="_-* #,##0.00\ &quot;¥&quot;_-;\-* #,##0.00\ &quot;¥&quot;_-;_-* &quot;-&quot;??\ &quot;¥&quot;_-;_-@_-"/>
    <numFmt numFmtId="43" formatCode="_-* #,##0.00\ _¥_-;\-* #,##0.00\ _¥_-;_-* &quot;-&quot;??\ _¥_-;_-@_-"/>
  </numFmts>
  <fonts count="6">
    <font>
      <name val="等线"/>
      <charset val="134"/>
      <color rgb="FF000000"/>
      <sz val="11"/>
      <extLst>
        <ext uri="smNativeData">
          <pm:charSpec xmlns:pm="smNativeData" id="1773736424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73736424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等线"/>
      <charset val="134"/>
      <b/>
      <color rgb="FF000000"/>
      <sz val="20"/>
      <extLst>
        <ext uri="smNativeData">
          <pm:charSpec xmlns:pm="smNativeData" id="1773736424" ulstyle="none" kern="1">
            <pm:latin face="等线" sz="400" lang="default" weight="bold"/>
            <pm:cs face="Times New Roman" sz="400" lang="default" weight="bold"/>
            <pm:ea face="SimSun" sz="400" lang="default" weight="bold"/>
          </pm:charSpec>
        </ext>
      </extLst>
    </font>
    <font>
      <name val="等线"/>
      <charset val="134"/>
      <b/>
      <color rgb="FF000000"/>
      <sz val="14"/>
      <extLst>
        <ext uri="smNativeData">
          <pm:charSpec xmlns:pm="smNativeData" id="1773736424" ulstyle="none" kern="1">
            <pm:latin face="等线" sz="280" lang="default" weight="bold"/>
            <pm:cs face="Times New Roman" sz="280" lang="default" weight="bold"/>
            <pm:ea face="SimSun" sz="280" lang="default" weight="bold"/>
          </pm:charSpec>
        </ext>
      </extLst>
    </font>
    <font>
      <name val="等线"/>
      <charset val="134"/>
      <color rgb="FF9C0006"/>
      <sz val="11"/>
      <extLst>
        <ext uri="smNativeData">
          <pm:charSpec xmlns:pm="smNativeData" id="1773736424" fgClr="9C0006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9C5700"/>
      <sz val="11"/>
      <extLst>
        <ext uri="smNativeData">
          <pm:charSpec xmlns:pm="smNativeData" id="1773736424" fgClr="9C5700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</fonts>
  <fills count="25">
    <fill>
      <patternFill patternType="none"/>
    </fill>
    <fill>
      <patternFill patternType="gray125"/>
    </fill>
    <fill>
      <patternFill patternType="solid">
        <fgColor rgb="FFFFC7CE"/>
        <bgColor rgb="FFFFFFFF"/>
        <extLst>
          <ext uri="smNativeData">
            <pm:shade xmlns:pm="smNativeData" id="1773736424" type="1" fgLvl="100" fgClr="00FFC7CE" bgLvl="0" bgClr="00FFFFFF"/>
          </ext>
        </extLst>
      </patternFill>
    </fill>
    <fill>
      <patternFill patternType="solid">
        <fgColor rgb="FFFFEB9C"/>
        <bgColor rgb="FFFFFFFF"/>
        <extLst>
          <ext uri="smNativeData">
            <pm:shade xmlns:pm="smNativeData" id="1773736424" type="1" fgLvl="100" fgClr="00FFEB9C" bgLvl="0" bgClr="00FFFFFF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73736424" type="1" fgLvl="100" fgClr="00FFE697" bgLvl="0" bgClr="00000000"/>
          </ext>
        </extLst>
      </patternFill>
    </fill>
    <fill>
      <patternFill patternType="solid">
        <fgColor rgb="FF00B0F0"/>
        <bgColor rgb="FFFFFFFF"/>
        <extLst>
          <ext uri="smNativeData">
            <pm:shade xmlns:pm="smNativeData" id="1773736424" type="1" fgLvl="100" fgClr="0000B0F0" bgLvl="0" bgClr="00000000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73736424" type="1" fgLvl="100" fgClr="009BC2E6" bgLvl="0" bgClr="00000000"/>
          </ext>
        </extLst>
      </patternFill>
    </fill>
    <fill>
      <patternFill patternType="solid">
        <fgColor rgb="FF00B0F0"/>
        <bgColor rgb="FFFFFFFF"/>
        <extLst>
          <ext uri="smNativeData">
            <pm:shade xmlns:pm="smNativeData" id="1773736424" type="1" fgLvl="100" fgClr="0000B0F0" bgLvl="0" bgClr="00000000"/>
          </ext>
        </extLst>
      </patternFill>
    </fill>
    <fill>
      <patternFill patternType="solid">
        <fgColor rgb="FF00B0F0"/>
        <bgColor rgb="FFFFFFFF"/>
        <extLst>
          <ext uri="smNativeData">
            <pm:shade xmlns:pm="smNativeData" id="1773736424" type="1" fgLvl="100" fgClr="0000B0F0" bgLvl="0" bgClr="00000000"/>
          </ext>
        </extLst>
      </patternFill>
    </fill>
    <fill>
      <patternFill patternType="solid">
        <fgColor rgb="FF00B0F0"/>
        <bgColor rgb="FFFFFFFF"/>
        <extLst>
          <ext uri="smNativeData">
            <pm:shade xmlns:pm="smNativeData" id="1773736424" type="1" fgLvl="100" fgClr="0000B0F0" bgLvl="0" bgClr="00000000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73736424" type="1" fgLvl="100" fgClr="00FFE697" bgLvl="0" bgClr="00000000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73736424" type="1" fgLvl="100" fgClr="00FFE697" bgLvl="0" bgClr="00000000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73736424" type="1" fgLvl="100" fgClr="00FFE697" bgLvl="0" bgClr="00000000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73736424" type="1" fgLvl="100" fgClr="00FFE697" bgLvl="0" bgClr="00000000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73736424" type="1" fgLvl="100" fgClr="00FFE697" bgLvl="0" bgClr="00000000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73736424" type="1" fgLvl="100" fgClr="00FFE697" bgLvl="0" bgClr="00000000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73736424" type="1" fgLvl="100" fgClr="009BC2E6" bgLvl="0" bgClr="00000000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73736424" type="1" fgLvl="100" fgClr="009BC2E6" bgLvl="0" bgClr="00000000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73736424" type="1" fgLvl="100" fgClr="009BC2E6" bgLvl="0" bgClr="00000000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73736424" type="1" fgLvl="100" fgClr="009BC2E6" bgLvl="0" bgClr="00000000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73736424" type="1" fgLvl="100" fgClr="009BC2E6" bgLvl="0" bgClr="00000000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73736424" type="1" fgLvl="100" fgClr="009BC2E6" bgLvl="0" bgClr="00000000"/>
          </ext>
        </extLst>
      </patternFill>
    </fill>
    <fill>
      <patternFill patternType="solid">
        <fgColor rgb="FFFFC7CE"/>
        <bgColor rgb="FFFFFFFF"/>
        <extLst>
          <ext uri="smNativeData">
            <pm:shade xmlns:pm="smNativeData" id="1773736424" type="1" fgLvl="100" fgClr="00FFC7CE" bgLvl="0" bgClr="00000000"/>
          </ext>
        </extLst>
      </patternFill>
    </fill>
    <fill>
      <patternFill patternType="solid">
        <fgColor rgb="FFFFEB9C"/>
        <bgColor rgb="FFFFFFFF"/>
        <extLst>
          <ext uri="smNativeData">
            <pm:shade xmlns:pm="smNativeData" id="1773736424" type="1" fgLvl="100" fgClr="00FFEB9C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3736424" type="1" fgLvl="100" fgClr="00FFFFFF" bgLvl="100" bgClr="00000000"/>
          </ext>
        </extLst>
      </patternFill>
    </fill>
  </fills>
  <borders count="2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73642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73642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736424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373642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373642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373642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3736424">
            <pm:line position="top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73642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3736424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3736424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3736424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3736424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3736424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3736424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3736424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3736424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3736424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3736424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3736424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3736424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3736424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73642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73642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3736424"/>
        </ext>
      </extLst>
    </border>
  </borders>
  <cellStyleXfs count="3">
    <xf numFmtId="0" fontId="0" fillId="0" borderId="0" applyNumberFormat="1" applyFont="1" applyFill="1" applyBorder="1" applyAlignment="1" applyProtection="1"/>
    <xf numFmtId="0" fontId="4" fillId="2" borderId="1" applyNumberFormat="0" applyFont="1" applyFill="1" applyBorder="0" applyAlignment="0" applyProtection="0">
      <alignment vertical="center"/>
    </xf>
    <xf numFmtId="0" fontId="5" fillId="3" borderId="2" applyNumberFormat="0" applyFont="1" applyFill="1" applyBorder="0" applyAlignment="0" applyProtection="0">
      <alignment vertical="center"/>
    </xf>
  </cellStyleXfs>
  <cellXfs count="28">
    <xf numFmtId="0" fontId="0" fillId="0" borderId="0" xfId="0"/>
    <xf numFmtId="0" fontId="4" fillId="2" borderId="1" xfId="1">
      <alignment vertical="center"/>
    </xf>
    <xf numFmtId="0" fontId="5" fillId="3" borderId="2" xfId="2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5" fillId="3" borderId="2" xfId="2" applyAlignment="1">
      <alignment vertical="bottom"/>
    </xf>
    <xf numFmtId="0" fontId="4" fillId="2" borderId="1" xfId="1" applyAlignment="1">
      <alignment vertical="bottom"/>
    </xf>
    <xf numFmtId="0" fontId="2" fillId="7" borderId="6" xfId="0" applyFont="1" applyFill="1" applyBorder="1" applyAlignment="1">
      <alignment horizontal="center" vertical="center"/>
    </xf>
    <xf numFmtId="0" fontId="2" fillId="8" borderId="7" xfId="0" applyFont="1" applyFill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2" fillId="13" borderId="12" xfId="0" applyFont="1" applyFill="1" applyBorder="1" applyAlignment="1">
      <alignment horizontal="center"/>
    </xf>
    <xf numFmtId="0" fontId="2" fillId="14" borderId="13" xfId="0" applyFont="1" applyFill="1" applyBorder="1" applyAlignment="1">
      <alignment horizontal="center"/>
    </xf>
    <xf numFmtId="0" fontId="2" fillId="15" borderId="14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 vertical="center" wrapText="1"/>
    </xf>
    <xf numFmtId="0" fontId="2" fillId="8" borderId="7" xfId="0" applyFont="1" applyFill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16" borderId="15" xfId="0" applyFont="1" applyFill="1" applyBorder="1" applyAlignment="1">
      <alignment horizontal="center"/>
    </xf>
    <xf numFmtId="0" fontId="2" fillId="17" borderId="16" xfId="0" applyFont="1" applyFill="1" applyBorder="1" applyAlignment="1">
      <alignment horizontal="center"/>
    </xf>
    <xf numFmtId="0" fontId="2" fillId="18" borderId="17" xfId="0" applyFont="1" applyFill="1" applyBorder="1" applyAlignment="1">
      <alignment horizontal="center"/>
    </xf>
    <xf numFmtId="0" fontId="2" fillId="19" borderId="18" xfId="0" applyFont="1" applyFill="1" applyBorder="1" applyAlignment="1">
      <alignment horizontal="center"/>
    </xf>
    <xf numFmtId="0" fontId="2" fillId="20" borderId="19" xfId="0" applyFont="1" applyFill="1" applyBorder="1" applyAlignment="1">
      <alignment horizontal="center"/>
    </xf>
    <xf numFmtId="0" fontId="2" fillId="21" borderId="20" xfId="0" applyFont="1" applyFill="1" applyBorder="1" applyAlignment="1">
      <alignment horizontal="center"/>
    </xf>
    <xf numFmtId="0" fontId="0" fillId="22" borderId="21" xfId="0" applyFill="1"/>
    <xf numFmtId="0" fontId="0" fillId="23" borderId="22" xfId="0" applyFill="1"/>
  </cellXfs>
  <cellStyles count="3">
    <cellStyle name="Normal" xfId="0" builtinId="0" customBuiltin="1"/>
    <cellStyle name="Bad" xfId="1" builtinId="27" customBuiltin="1"/>
    <cellStyle name="Neutral" xfId="2" builtinId="28" customBuiltin="1"/>
  </cellStyles>
  <tableStyles count="0"/>
  <extLst>
    <ext uri="smNativeData">
      <pm:charStyles xmlns:pm="smNativeData" id="1773736424" count="1">
        <pm:charStyle name="普通" fontId="0" Id="1"/>
      </pm:charStyles>
      <pm:colors xmlns:pm="smNativeData" id="1773736424" count="8">
        <pm:color name="颜色 24" rgb="9C0006"/>
        <pm:color name="颜色 25" rgb="9C5700"/>
        <pm:color name="颜色 26" rgb="FFE697"/>
        <pm:color name="20% 灰色" rgb="000000"/>
        <pm:color name="颜色 28" rgb="9BC2E6"/>
        <pm:color name="颜色 29" rgb="00B0F0"/>
        <pm:color name="颜色 30" rgb="FFC7CE"/>
        <pm:color name="颜色 31" rgb="FFEB9C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C3:D7"/>
  <sheetViews>
    <sheetView tabSelected="1" view="normal" topLeftCell="B1" workbookViewId="0">
      <selection activeCell="D17" sqref="D17"/>
    </sheetView>
  </sheetViews>
  <sheetFormatPr defaultRowHeight="13.45"/>
  <cols>
    <col min="4" max="4" width="111.836207" customWidth="1"/>
  </cols>
  <sheetData>
    <row r="3" spans="3:4">
      <c r="C3" t="s">
        <v>0</v>
      </c>
      <c r="D3" t="s">
        <v>1</v>
      </c>
    </row>
    <row r="4" spans="3:4">
      <c r="C4" t="s">
        <v>2</v>
      </c>
      <c r="D4" t="s">
        <v>3</v>
      </c>
    </row>
    <row r="5" spans="3:4">
      <c r="C5" t="s">
        <v>4</v>
      </c>
      <c r="D5" t="s">
        <v>5</v>
      </c>
    </row>
    <row r="6" spans="4:4">
      <c r="D6" t="s">
        <v>6</v>
      </c>
    </row>
    <row r="7" spans="3:4">
      <c r="C7" t="s">
        <v>7</v>
      </c>
      <c r="D7" t="s">
        <v>8</v>
      </c>
    </row>
  </sheetData>
  <printOptions>
    <extLst>
      <ext uri="smNativeData">
        <pm:pageFlags xmlns:pm="smNativeData" id="177373642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73736424" l="56" r="56" t="56" b="56" borderId="0" fillId="0" vertical="0"/>
        <pm:footer xmlns:pm="smNativeData" id="1773736424" l="56" r="56" t="56" b="56" borderId="0" fillId="0" vertical="2"/>
        <pm:paperBin xmlns:pm="smNativeData" id="1773736424" Id="0" type="0" value="0"/>
        <pm:paperBin xmlns:pm="smNativeData" id="1773736424" Id="1" type="0" value="0"/>
      </ext>
    </extLst>
  </headerFooter>
  <extLst>
    <ext uri="smNativeData">
      <pm:sheetPrefs xmlns:pm="smNativeData" day="177373642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Q74"/>
  <sheetViews>
    <sheetView view="normal" topLeftCell="A22" workbookViewId="0">
      <selection activeCell="I2" sqref="I2:I5"/>
    </sheetView>
  </sheetViews>
  <sheetFormatPr defaultRowHeight="13.45"/>
  <cols>
    <col min="1" max="1" width="6.500000" customWidth="1"/>
    <col min="2" max="2" width="14.620690" customWidth="1"/>
    <col min="3" max="3" width="24.836207" customWidth="1"/>
    <col min="4" max="4" width="11.370690" customWidth="1"/>
    <col min="5" max="5" width="4.120690" customWidth="1"/>
    <col min="6" max="6" width="42.120690" customWidth="1"/>
    <col min="7" max="8" width="6.500000" customWidth="1"/>
    <col min="9" max="9" width="34.750000" customWidth="1"/>
    <col min="10" max="10" width="6.500000" customWidth="1"/>
    <col min="11" max="11" width="13.120690" customWidth="1"/>
    <col min="12" max="12" width="19.000000" customWidth="1"/>
    <col min="13" max="13" width="11.370690" customWidth="1"/>
    <col min="14" max="14" width="4.120690" customWidth="1"/>
    <col min="15" max="15" width="37.120690" customWidth="1"/>
    <col min="16" max="17" width="6.500000" customWidth="1"/>
  </cols>
  <sheetData>
    <row r="1" spans="1:17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4" t="s">
        <v>17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14.25" customHeight="1">
      <c r="A2" s="11" t="s">
        <v>18</v>
      </c>
      <c r="B2" s="12"/>
      <c r="C2" s="12"/>
      <c r="D2" s="12"/>
      <c r="E2" s="12"/>
      <c r="F2" s="12"/>
      <c r="G2" s="12"/>
      <c r="H2" s="13"/>
      <c r="I2" s="8" t="s">
        <v>19</v>
      </c>
      <c r="J2" s="20" t="s">
        <v>20</v>
      </c>
      <c r="K2" s="21"/>
      <c r="L2" s="21"/>
      <c r="M2" s="21"/>
      <c r="N2" s="21"/>
      <c r="O2" s="21"/>
      <c r="P2" s="21"/>
      <c r="Q2" s="22"/>
    </row>
    <row r="3" spans="1:17" ht="14.25" customHeight="1">
      <c r="A3" s="14"/>
      <c r="B3" s="15"/>
      <c r="C3" s="15"/>
      <c r="D3" s="15"/>
      <c r="E3" s="15"/>
      <c r="F3" s="15"/>
      <c r="G3" s="15"/>
      <c r="H3" s="16"/>
      <c r="I3" s="9"/>
      <c r="J3" s="23"/>
      <c r="K3" s="24"/>
      <c r="L3" s="24"/>
      <c r="M3" s="24"/>
      <c r="N3" s="24"/>
      <c r="O3" s="24"/>
      <c r="P3" s="24"/>
      <c r="Q3" s="25"/>
    </row>
    <row r="4" spans="2:17" ht="14.25" customHeight="1">
      <c r="B4" t="s">
        <v>21</v>
      </c>
      <c r="D4" t="n">
        <v>0</v>
      </c>
      <c r="H4" t="n">
        <v>200</v>
      </c>
      <c r="I4" s="9"/>
      <c r="K4" t="s">
        <v>22</v>
      </c>
      <c r="L4" t="s">
        <v>23</v>
      </c>
      <c r="M4" t="n">
        <v>4000</v>
      </c>
      <c r="O4" t="s">
        <v>24</v>
      </c>
      <c r="Q4" t="n">
        <v>200</v>
      </c>
    </row>
    <row r="5" spans="9:9" ht="14.25" customHeight="1">
      <c r="I5" s="9"/>
    </row>
    <row r="6" spans="1:17" ht="14.25" customHeight="1">
      <c r="A6" s="11" t="s">
        <v>18</v>
      </c>
      <c r="B6" s="12"/>
      <c r="C6" s="12"/>
      <c r="D6" s="12"/>
      <c r="E6" s="12"/>
      <c r="F6" s="12"/>
      <c r="G6" s="12"/>
      <c r="H6" s="13"/>
      <c r="I6" s="8" t="s">
        <v>25</v>
      </c>
      <c r="J6" s="20" t="s">
        <v>20</v>
      </c>
      <c r="K6" s="21"/>
      <c r="L6" s="21"/>
      <c r="M6" s="21"/>
      <c r="N6" s="21"/>
      <c r="O6" s="21"/>
      <c r="P6" s="21"/>
      <c r="Q6" s="22"/>
    </row>
    <row r="7" spans="1:17" ht="14.25" customHeight="1">
      <c r="A7" s="14"/>
      <c r="B7" s="15"/>
      <c r="C7" s="15"/>
      <c r="D7" s="15"/>
      <c r="E7" s="15"/>
      <c r="F7" s="15"/>
      <c r="G7" s="15"/>
      <c r="H7" s="16"/>
      <c r="I7" s="9"/>
      <c r="J7" s="23"/>
      <c r="K7" s="24"/>
      <c r="L7" s="24"/>
      <c r="M7" s="24"/>
      <c r="N7" s="24"/>
      <c r="O7" s="24"/>
      <c r="P7" s="24"/>
      <c r="Q7" s="25"/>
    </row>
    <row r="8" spans="2:15" ht="14.25" customHeight="1">
      <c r="B8" t="s">
        <v>26</v>
      </c>
      <c r="C8" t="s">
        <v>23</v>
      </c>
      <c r="D8" t="n">
        <v>100</v>
      </c>
      <c r="F8" t="s">
        <v>27</v>
      </c>
      <c r="I8" s="9"/>
      <c r="K8" t="s">
        <v>28</v>
      </c>
      <c r="L8" t="s">
        <v>23</v>
      </c>
      <c r="M8">
        <f>M4+100</f>
        <v>4100</v>
      </c>
      <c r="N8" t="n">
        <v>0</v>
      </c>
      <c r="O8" t="s">
        <v>29</v>
      </c>
    </row>
    <row r="9" spans="2:15" ht="14.25" customHeight="1">
      <c r="B9" t="s">
        <v>30</v>
      </c>
      <c r="C9" t="s">
        <v>31</v>
      </c>
      <c r="D9">
        <f>D8+2</f>
        <v>102</v>
      </c>
      <c r="F9" t="s">
        <v>32</v>
      </c>
      <c r="I9" s="9"/>
      <c r="K9" t="s">
        <v>33</v>
      </c>
      <c r="L9" t="s">
        <v>34</v>
      </c>
      <c r="M9">
        <f>M8+2</f>
        <v>4102</v>
      </c>
      <c r="O9" t="s">
        <v>35</v>
      </c>
    </row>
    <row r="10" spans="2:13" ht="14.25" customHeight="1">
      <c r="B10" t="s">
        <v>36</v>
      </c>
      <c r="D10">
        <f>D9+26</f>
        <v>128</v>
      </c>
      <c r="I10" s="10"/>
      <c r="K10" t="s">
        <v>37</v>
      </c>
      <c r="M10">
        <f>M9+2</f>
        <v>4104</v>
      </c>
    </row>
    <row r="11" spans="1:17" ht="14.25" customHeight="1">
      <c r="A11" s="11" t="s">
        <v>18</v>
      </c>
      <c r="B11" s="12"/>
      <c r="C11" s="12"/>
      <c r="D11" s="12"/>
      <c r="E11" s="12"/>
      <c r="F11" s="12"/>
      <c r="G11" s="12"/>
      <c r="H11" s="13"/>
      <c r="I11" s="8" t="s">
        <v>38</v>
      </c>
      <c r="J11" s="20" t="s">
        <v>20</v>
      </c>
      <c r="K11" s="21"/>
      <c r="L11" s="21"/>
      <c r="M11" s="21"/>
      <c r="N11" s="21"/>
      <c r="O11" s="21"/>
      <c r="P11" s="21"/>
      <c r="Q11" s="22"/>
    </row>
    <row r="12" spans="1:17" ht="14.25" customHeight="1">
      <c r="A12" s="14"/>
      <c r="B12" s="15"/>
      <c r="C12" s="15"/>
      <c r="D12" s="15"/>
      <c r="E12" s="15"/>
      <c r="F12" s="15"/>
      <c r="G12" s="15"/>
      <c r="H12" s="16"/>
      <c r="I12" s="9"/>
      <c r="J12" s="23"/>
      <c r="K12" s="24"/>
      <c r="L12" s="24"/>
      <c r="M12" s="24"/>
      <c r="N12" s="24"/>
      <c r="O12" s="24"/>
      <c r="P12" s="24"/>
      <c r="Q12" s="25"/>
    </row>
    <row r="13" spans="2:15" ht="14.25" customHeight="1">
      <c r="B13" t="s">
        <v>26</v>
      </c>
      <c r="C13" t="s">
        <v>23</v>
      </c>
      <c r="D13">
        <f>D10+72</f>
        <v>200</v>
      </c>
      <c r="F13" t="s">
        <v>39</v>
      </c>
      <c r="I13" s="9"/>
      <c r="K13" t="s">
        <v>28</v>
      </c>
      <c r="L13" t="s">
        <v>23</v>
      </c>
      <c r="M13">
        <f>M10+96</f>
        <v>4200</v>
      </c>
      <c r="O13" t="s">
        <v>40</v>
      </c>
    </row>
    <row r="14" spans="2:15" ht="14.25" customHeight="1">
      <c r="B14" t="s">
        <v>30</v>
      </c>
      <c r="C14" t="s">
        <v>31</v>
      </c>
      <c r="D14">
        <f>D13+2</f>
        <v>202</v>
      </c>
      <c r="F14" t="s">
        <v>32</v>
      </c>
      <c r="I14" s="9"/>
      <c r="K14" t="s">
        <v>33</v>
      </c>
      <c r="L14" t="s">
        <v>34</v>
      </c>
      <c r="M14">
        <f>M13+2</f>
        <v>4202</v>
      </c>
      <c r="O14" t="s">
        <v>41</v>
      </c>
    </row>
    <row r="15" spans="2:13" ht="14.25" customHeight="1">
      <c r="B15" t="s">
        <v>42</v>
      </c>
      <c r="C15" t="s">
        <v>31</v>
      </c>
      <c r="D15">
        <f>D14+26</f>
        <v>228</v>
      </c>
      <c r="F15" t="s">
        <v>43</v>
      </c>
      <c r="I15" s="9"/>
      <c r="K15" t="s">
        <v>37</v>
      </c>
      <c r="M15">
        <f>M14+2</f>
        <v>4204</v>
      </c>
    </row>
    <row r="16" spans="2:9" ht="14.25" customHeight="1">
      <c r="B16" t="s">
        <v>44</v>
      </c>
      <c r="D16">
        <f>D15+26</f>
        <v>254</v>
      </c>
      <c r="I16" s="10"/>
    </row>
    <row r="17" spans="1:17" ht="14.25" customHeight="1">
      <c r="A17" s="11" t="s">
        <v>18</v>
      </c>
      <c r="B17" s="12"/>
      <c r="C17" s="12"/>
      <c r="D17" s="12"/>
      <c r="E17" s="12"/>
      <c r="F17" s="12"/>
      <c r="G17" s="12"/>
      <c r="H17" s="13"/>
      <c r="I17" s="8" t="s">
        <v>45</v>
      </c>
      <c r="J17" s="20" t="s">
        <v>20</v>
      </c>
      <c r="K17" s="21"/>
      <c r="L17" s="21"/>
      <c r="M17" s="21"/>
      <c r="N17" s="21"/>
      <c r="O17" s="21"/>
      <c r="P17" s="21"/>
      <c r="Q17" s="22"/>
    </row>
    <row r="18" spans="1:17" ht="14.25" customHeight="1">
      <c r="A18" s="14"/>
      <c r="B18" s="15"/>
      <c r="C18" s="15"/>
      <c r="D18" s="15"/>
      <c r="E18" s="15"/>
      <c r="F18" s="15"/>
      <c r="G18" s="15"/>
      <c r="H18" s="16"/>
      <c r="I18" s="9"/>
      <c r="J18" s="23"/>
      <c r="K18" s="24"/>
      <c r="L18" s="24"/>
      <c r="M18" s="24"/>
      <c r="N18" s="24"/>
      <c r="O18" s="24"/>
      <c r="P18" s="24"/>
      <c r="Q18" s="25"/>
    </row>
    <row r="19" spans="2:15" ht="14.25" customHeight="1">
      <c r="B19" t="s">
        <v>26</v>
      </c>
      <c r="C19" t="s">
        <v>23</v>
      </c>
      <c r="D19">
        <f>D16+46</f>
        <v>300</v>
      </c>
      <c r="F19" t="s">
        <v>39</v>
      </c>
      <c r="I19" s="9"/>
      <c r="K19" t="s">
        <v>28</v>
      </c>
      <c r="L19" t="s">
        <v>23</v>
      </c>
      <c r="M19">
        <f>M15+96</f>
        <v>4300</v>
      </c>
      <c r="O19" t="s">
        <v>40</v>
      </c>
    </row>
    <row r="20" spans="2:15" ht="14.25" customHeight="1">
      <c r="B20" t="s">
        <v>30</v>
      </c>
      <c r="C20" t="s">
        <v>31</v>
      </c>
      <c r="D20">
        <f>D19+2</f>
        <v>302</v>
      </c>
      <c r="F20" t="s">
        <v>46</v>
      </c>
      <c r="I20" s="9"/>
      <c r="K20" t="s">
        <v>33</v>
      </c>
      <c r="L20" t="s">
        <v>34</v>
      </c>
      <c r="M20">
        <f>M19+2</f>
        <v>4302</v>
      </c>
      <c r="O20" t="s">
        <v>41</v>
      </c>
    </row>
    <row r="21" spans="2:13" ht="14.25" customHeight="1">
      <c r="B21" t="s">
        <v>47</v>
      </c>
      <c r="C21" t="s">
        <v>31</v>
      </c>
      <c r="D21">
        <f>D20+26</f>
        <v>328</v>
      </c>
      <c r="F21" t="s">
        <v>48</v>
      </c>
      <c r="I21" s="9"/>
      <c r="K21" t="s">
        <v>37</v>
      </c>
      <c r="M21">
        <f>M20+2</f>
        <v>4304</v>
      </c>
    </row>
    <row r="22" spans="2:9" ht="14.25" customHeight="1">
      <c r="B22" t="s">
        <v>44</v>
      </c>
      <c r="D22">
        <f>D21+26</f>
        <v>354</v>
      </c>
      <c r="I22" s="10"/>
    </row>
    <row r="23" spans="1:17" ht="14.25" customHeight="1">
      <c r="A23" s="11" t="s">
        <v>18</v>
      </c>
      <c r="B23" s="12"/>
      <c r="C23" s="12"/>
      <c r="D23" s="12"/>
      <c r="E23" s="12"/>
      <c r="F23" s="12"/>
      <c r="G23" s="12"/>
      <c r="H23" s="13"/>
      <c r="I23" s="8" t="s">
        <v>49</v>
      </c>
      <c r="J23" s="20" t="s">
        <v>20</v>
      </c>
      <c r="K23" s="21"/>
      <c r="L23" s="21"/>
      <c r="M23" s="21"/>
      <c r="N23" s="21"/>
      <c r="O23" s="21"/>
      <c r="P23" s="21"/>
      <c r="Q23" s="22"/>
    </row>
    <row r="24" spans="1:17" ht="14.25" customHeight="1">
      <c r="A24" s="14"/>
      <c r="B24" s="15"/>
      <c r="C24" s="15"/>
      <c r="D24" s="15"/>
      <c r="E24" s="15"/>
      <c r="F24" s="15"/>
      <c r="G24" s="15"/>
      <c r="H24" s="16"/>
      <c r="I24" s="9"/>
      <c r="J24" s="23"/>
      <c r="K24" s="24"/>
      <c r="L24" s="24"/>
      <c r="M24" s="24"/>
      <c r="N24" s="24"/>
      <c r="O24" s="24"/>
      <c r="P24" s="24"/>
      <c r="Q24" s="25"/>
    </row>
    <row r="25" spans="2:15" ht="14.25" customHeight="1">
      <c r="B25" t="s">
        <v>26</v>
      </c>
      <c r="C25" t="s">
        <v>23</v>
      </c>
      <c r="D25">
        <f>D22+46</f>
        <v>400</v>
      </c>
      <c r="F25" t="s">
        <v>39</v>
      </c>
      <c r="I25" s="9"/>
      <c r="K25" t="s">
        <v>28</v>
      </c>
      <c r="L25" t="s">
        <v>23</v>
      </c>
      <c r="M25">
        <f>M21+96</f>
        <v>4400</v>
      </c>
      <c r="O25" t="s">
        <v>40</v>
      </c>
    </row>
    <row r="26" spans="2:15" ht="14.25" customHeight="1">
      <c r="B26" t="s">
        <v>50</v>
      </c>
      <c r="D26">
        <f>D25+2</f>
        <v>402</v>
      </c>
      <c r="I26" s="9"/>
      <c r="K26" t="s">
        <v>33</v>
      </c>
      <c r="L26" t="s">
        <v>34</v>
      </c>
      <c r="M26">
        <f>M25+2</f>
        <v>4402</v>
      </c>
      <c r="O26" t="s">
        <v>41</v>
      </c>
    </row>
    <row r="27" spans="9:15" ht="14.25" customHeight="1">
      <c r="I27" s="9"/>
      <c r="K27" t="s">
        <v>42</v>
      </c>
      <c r="L27" t="s">
        <v>31</v>
      </c>
      <c r="M27">
        <f>M26+2</f>
        <v>4404</v>
      </c>
      <c r="O27" t="s">
        <v>51</v>
      </c>
    </row>
    <row r="28" spans="9:13" ht="14.25" customHeight="1">
      <c r="I28" s="10"/>
      <c r="K28" t="s">
        <v>52</v>
      </c>
      <c r="M28">
        <f>M27+26</f>
        <v>4430</v>
      </c>
    </row>
    <row r="29" spans="1:17" ht="14.25" customHeight="1">
      <c r="A29" s="11" t="s">
        <v>18</v>
      </c>
      <c r="B29" s="12"/>
      <c r="C29" s="12"/>
      <c r="D29" s="12"/>
      <c r="E29" s="12"/>
      <c r="F29" s="12"/>
      <c r="G29" s="12"/>
      <c r="H29" s="13"/>
      <c r="I29" s="17" t="s">
        <v>53</v>
      </c>
      <c r="J29" s="20" t="s">
        <v>20</v>
      </c>
      <c r="K29" s="21"/>
      <c r="L29" s="21"/>
      <c r="M29" s="21"/>
      <c r="N29" s="21"/>
      <c r="O29" s="21"/>
      <c r="P29" s="21"/>
      <c r="Q29" s="22"/>
    </row>
    <row r="30" spans="1:17" ht="14.25" customHeight="1">
      <c r="A30" s="14"/>
      <c r="B30" s="15"/>
      <c r="C30" s="15"/>
      <c r="D30" s="15"/>
      <c r="E30" s="15"/>
      <c r="F30" s="15"/>
      <c r="G30" s="15"/>
      <c r="H30" s="16"/>
      <c r="I30" s="18"/>
      <c r="J30" s="23"/>
      <c r="K30" s="24"/>
      <c r="L30" s="24"/>
      <c r="M30" s="24"/>
      <c r="N30" s="24"/>
      <c r="O30" s="24"/>
      <c r="P30" s="24"/>
      <c r="Q30" s="25"/>
    </row>
    <row r="31" spans="2:15" ht="14.25" customHeight="1">
      <c r="B31" t="s">
        <v>26</v>
      </c>
      <c r="C31" t="s">
        <v>23</v>
      </c>
      <c r="D31">
        <f>D26+98</f>
        <v>500</v>
      </c>
      <c r="F31" t="s">
        <v>39</v>
      </c>
      <c r="I31" s="18"/>
      <c r="K31" t="s">
        <v>28</v>
      </c>
      <c r="L31" t="s">
        <v>23</v>
      </c>
      <c r="M31">
        <f>M28+70</f>
        <v>4500</v>
      </c>
      <c r="O31" t="s">
        <v>40</v>
      </c>
    </row>
    <row r="32" spans="2:15" ht="14.25" customHeight="1">
      <c r="B32" t="s">
        <v>54</v>
      </c>
      <c r="C32" t="s">
        <v>55</v>
      </c>
      <c r="D32">
        <f>D31+2</f>
        <v>502</v>
      </c>
      <c r="F32" t="s">
        <v>56</v>
      </c>
      <c r="I32" s="18"/>
      <c r="K32" t="s">
        <v>33</v>
      </c>
      <c r="L32" t="s">
        <v>34</v>
      </c>
      <c r="M32">
        <f>M31+2</f>
        <v>4502</v>
      </c>
      <c r="O32" t="s">
        <v>41</v>
      </c>
    </row>
    <row r="33" spans="2:13" ht="14.25" customHeight="1">
      <c r="B33" t="s">
        <v>57</v>
      </c>
      <c r="C33" t="s">
        <v>55</v>
      </c>
      <c r="D33">
        <f>D32+4</f>
        <v>506</v>
      </c>
      <c r="F33" t="s">
        <v>58</v>
      </c>
      <c r="I33" s="18"/>
      <c r="K33" t="s">
        <v>37</v>
      </c>
      <c r="M33">
        <f>M32+2</f>
        <v>4504</v>
      </c>
    </row>
    <row r="34" spans="2:9" ht="14.25" customHeight="1">
      <c r="B34" t="s">
        <v>59</v>
      </c>
      <c r="C34" t="s">
        <v>55</v>
      </c>
      <c r="D34">
        <f>D33+4</f>
        <v>510</v>
      </c>
      <c r="F34" t="s">
        <v>60</v>
      </c>
      <c r="I34" s="18"/>
    </row>
    <row r="35" spans="2:9" ht="14.25" customHeight="1">
      <c r="B35" t="s">
        <v>61</v>
      </c>
      <c r="C35" t="s">
        <v>55</v>
      </c>
      <c r="D35">
        <f>D34+4</f>
        <v>514</v>
      </c>
      <c r="F35" t="s">
        <v>62</v>
      </c>
      <c r="I35" s="18"/>
    </row>
    <row r="36" spans="2:9" ht="14.25" customHeight="1">
      <c r="B36" t="s">
        <v>63</v>
      </c>
      <c r="C36" t="s">
        <v>55</v>
      </c>
      <c r="D36">
        <f>D35+4</f>
        <v>518</v>
      </c>
      <c r="F36" t="s">
        <v>64</v>
      </c>
      <c r="I36" s="18"/>
    </row>
    <row r="37" spans="2:9" ht="14.25" customHeight="1">
      <c r="B37" t="s">
        <v>65</v>
      </c>
      <c r="C37" t="s">
        <v>55</v>
      </c>
      <c r="D37">
        <f>D36+4</f>
        <v>522</v>
      </c>
      <c r="F37" t="s">
        <v>66</v>
      </c>
      <c r="I37" s="18"/>
    </row>
    <row r="38" spans="2:9" ht="14.25" customHeight="1">
      <c r="B38" t="s">
        <v>67</v>
      </c>
      <c r="C38" t="s">
        <v>55</v>
      </c>
      <c r="D38">
        <f>D37+4</f>
        <v>526</v>
      </c>
      <c r="F38" t="s">
        <v>68</v>
      </c>
      <c r="I38" s="18"/>
    </row>
    <row r="39" spans="2:9" ht="14.25" customHeight="1">
      <c r="B39" t="s">
        <v>69</v>
      </c>
      <c r="C39" t="s">
        <v>55</v>
      </c>
      <c r="D39">
        <f>D38+4</f>
        <v>530</v>
      </c>
      <c r="F39" t="s">
        <v>70</v>
      </c>
      <c r="I39" s="18"/>
    </row>
    <row r="40" spans="2:9" ht="14.25" customHeight="1">
      <c r="B40" t="s">
        <v>71</v>
      </c>
      <c r="C40" t="s">
        <v>55</v>
      </c>
      <c r="D40">
        <f>D39+4</f>
        <v>534</v>
      </c>
      <c r="F40" t="s">
        <v>72</v>
      </c>
      <c r="I40" s="18"/>
    </row>
    <row r="41" spans="2:9" ht="14.25" customHeight="1">
      <c r="B41" t="s">
        <v>73</v>
      </c>
      <c r="C41" t="s">
        <v>55</v>
      </c>
      <c r="D41">
        <f>D40+4</f>
        <v>538</v>
      </c>
      <c r="F41" t="s">
        <v>74</v>
      </c>
      <c r="I41" s="18"/>
    </row>
    <row r="42" spans="2:9" ht="14.25" customHeight="1">
      <c r="B42" t="s">
        <v>75</v>
      </c>
      <c r="C42" t="s">
        <v>55</v>
      </c>
      <c r="D42">
        <f>D41+4</f>
        <v>542</v>
      </c>
      <c r="F42" t="s">
        <v>76</v>
      </c>
      <c r="I42" s="18"/>
    </row>
    <row r="43" spans="2:9" ht="14.25" customHeight="1">
      <c r="B43" t="s">
        <v>77</v>
      </c>
      <c r="C43" t="s">
        <v>55</v>
      </c>
      <c r="D43">
        <f>D42+4</f>
        <v>546</v>
      </c>
      <c r="F43" t="s">
        <v>78</v>
      </c>
      <c r="I43" s="18"/>
    </row>
    <row r="44" spans="2:9" ht="14.25" customHeight="1">
      <c r="B44" t="s">
        <v>79</v>
      </c>
      <c r="C44" t="s">
        <v>55</v>
      </c>
      <c r="D44">
        <f>D43+4</f>
        <v>550</v>
      </c>
      <c r="F44" t="s">
        <v>80</v>
      </c>
      <c r="I44" s="18"/>
    </row>
    <row r="45" spans="2:9" ht="14.25" customHeight="1">
      <c r="B45" t="s">
        <v>81</v>
      </c>
      <c r="C45" t="s">
        <v>55</v>
      </c>
      <c r="D45">
        <f>D44+4</f>
        <v>554</v>
      </c>
      <c r="F45" t="s">
        <v>82</v>
      </c>
      <c r="I45" s="18"/>
    </row>
    <row r="46" spans="2:9" ht="14.25" customHeight="1">
      <c r="B46" t="s">
        <v>83</v>
      </c>
      <c r="C46" t="s">
        <v>55</v>
      </c>
      <c r="D46">
        <f>D45+4</f>
        <v>558</v>
      </c>
      <c r="F46" t="s">
        <v>84</v>
      </c>
      <c r="I46" s="18"/>
    </row>
    <row r="47" spans="2:9" ht="14.25" customHeight="1">
      <c r="B47" t="s">
        <v>85</v>
      </c>
      <c r="C47" t="s">
        <v>55</v>
      </c>
      <c r="D47">
        <f>D46+4</f>
        <v>562</v>
      </c>
      <c r="F47" t="s">
        <v>86</v>
      </c>
      <c r="I47" s="18"/>
    </row>
    <row r="48" spans="2:9" ht="14.25" customHeight="1">
      <c r="B48" t="s">
        <v>87</v>
      </c>
      <c r="C48" t="s">
        <v>55</v>
      </c>
      <c r="D48">
        <f>D47+4</f>
        <v>566</v>
      </c>
      <c r="F48" t="s">
        <v>88</v>
      </c>
      <c r="I48" s="18"/>
    </row>
    <row r="49" spans="2:9" ht="14.25" customHeight="1">
      <c r="B49" t="s">
        <v>89</v>
      </c>
      <c r="C49" t="s">
        <v>55</v>
      </c>
      <c r="D49">
        <f>D48+4</f>
        <v>570</v>
      </c>
      <c r="F49" t="s">
        <v>90</v>
      </c>
      <c r="I49" s="18"/>
    </row>
    <row r="50" spans="2:9" ht="14.25" customHeight="1">
      <c r="B50" t="s">
        <v>91</v>
      </c>
      <c r="C50" t="s">
        <v>55</v>
      </c>
      <c r="D50">
        <f>D49+4</f>
        <v>574</v>
      </c>
      <c r="F50" t="s">
        <v>92</v>
      </c>
      <c r="I50" s="18"/>
    </row>
    <row r="51" spans="2:9" ht="14.25" customHeight="1">
      <c r="B51" t="s">
        <v>93</v>
      </c>
      <c r="C51" t="s">
        <v>55</v>
      </c>
      <c r="D51">
        <f>D50+4</f>
        <v>578</v>
      </c>
      <c r="F51" t="s">
        <v>94</v>
      </c>
      <c r="I51" s="18"/>
    </row>
    <row r="52" spans="2:9" ht="25.50" customHeight="1">
      <c r="B52" t="s">
        <v>95</v>
      </c>
      <c r="D52">
        <f>D51+4</f>
        <v>582</v>
      </c>
      <c r="I52" s="19"/>
    </row>
    <row r="53" spans="1:17" ht="14.25" customHeight="1">
      <c r="A53" s="11" t="s">
        <v>18</v>
      </c>
      <c r="B53" s="12"/>
      <c r="C53" s="12"/>
      <c r="D53" s="12"/>
      <c r="E53" s="12"/>
      <c r="F53" s="12"/>
      <c r="G53" s="12"/>
      <c r="H53" s="13"/>
      <c r="I53" s="8" t="s">
        <v>96</v>
      </c>
      <c r="J53" s="20" t="s">
        <v>20</v>
      </c>
      <c r="K53" s="21"/>
      <c r="L53" s="21"/>
      <c r="M53" s="21"/>
      <c r="N53" s="21"/>
      <c r="O53" s="21"/>
      <c r="P53" s="21"/>
      <c r="Q53" s="22"/>
    </row>
    <row r="54" spans="1:17" ht="14.25" customHeight="1">
      <c r="A54" s="14"/>
      <c r="B54" s="15"/>
      <c r="C54" s="15"/>
      <c r="D54" s="15"/>
      <c r="E54" s="15"/>
      <c r="F54" s="15"/>
      <c r="G54" s="15"/>
      <c r="H54" s="16"/>
      <c r="I54" s="9"/>
      <c r="J54" s="23"/>
      <c r="K54" s="24"/>
      <c r="L54" s="24"/>
      <c r="M54" s="24"/>
      <c r="N54" s="24"/>
      <c r="O54" s="24"/>
      <c r="P54" s="24"/>
      <c r="Q54" s="25"/>
    </row>
    <row r="55" spans="2:15" ht="14.25" customHeight="1">
      <c r="B55" t="s">
        <v>26</v>
      </c>
      <c r="C55" t="s">
        <v>23</v>
      </c>
      <c r="D55">
        <f>D52+58</f>
        <v>640</v>
      </c>
      <c r="F55" t="s">
        <v>39</v>
      </c>
      <c r="I55" s="9"/>
      <c r="K55" t="s">
        <v>28</v>
      </c>
      <c r="L55" t="s">
        <v>23</v>
      </c>
      <c r="M55">
        <f>M33+96</f>
        <v>4600</v>
      </c>
      <c r="O55" t="s">
        <v>40</v>
      </c>
    </row>
    <row r="56" spans="2:15" ht="14.25" customHeight="1">
      <c r="B56" t="s">
        <v>30</v>
      </c>
      <c r="C56" t="s">
        <v>97</v>
      </c>
      <c r="D56">
        <f>D55+2</f>
        <v>642</v>
      </c>
      <c r="F56" t="s">
        <v>32</v>
      </c>
      <c r="I56" s="9"/>
      <c r="K56" t="s">
        <v>33</v>
      </c>
      <c r="L56" t="s">
        <v>34</v>
      </c>
      <c r="M56">
        <f>M55+2</f>
        <v>4602</v>
      </c>
      <c r="O56" t="s">
        <v>41</v>
      </c>
    </row>
    <row r="57" spans="2:13" ht="14.25" customHeight="1">
      <c r="B57" t="s">
        <v>98</v>
      </c>
      <c r="C57" t="s">
        <v>99</v>
      </c>
      <c r="D57">
        <f>D56+26</f>
        <v>668</v>
      </c>
      <c r="F57" t="s">
        <v>100</v>
      </c>
      <c r="I57" s="9"/>
      <c r="K57" t="s">
        <v>101</v>
      </c>
      <c r="M57">
        <f>M56+2</f>
        <v>4604</v>
      </c>
    </row>
    <row r="58" spans="2:9" ht="14.25" customHeight="1">
      <c r="B58" t="s">
        <v>102</v>
      </c>
      <c r="C58" t="s">
        <v>103</v>
      </c>
      <c r="D58">
        <f>D57+12</f>
        <v>680</v>
      </c>
      <c r="I58" s="9"/>
    </row>
    <row r="59" spans="2:9">
      <c r="B59" t="s">
        <v>104</v>
      </c>
      <c r="D59">
        <f>D58+16*20</f>
        <v>1000</v>
      </c>
      <c r="I59" s="10"/>
    </row>
    <row r="60" spans="1:17" ht="14.25" customHeight="1">
      <c r="A60" s="11" t="s">
        <v>18</v>
      </c>
      <c r="B60" s="12"/>
      <c r="C60" s="12"/>
      <c r="D60" s="12"/>
      <c r="E60" s="12"/>
      <c r="F60" s="12"/>
      <c r="G60" s="12"/>
      <c r="H60" s="13"/>
      <c r="I60" s="8" t="s">
        <v>105</v>
      </c>
      <c r="J60" s="20" t="s">
        <v>20</v>
      </c>
      <c r="K60" s="21"/>
      <c r="L60" s="21"/>
      <c r="M60" s="21"/>
      <c r="N60" s="21"/>
      <c r="O60" s="21"/>
      <c r="P60" s="21"/>
      <c r="Q60" s="22"/>
    </row>
    <row r="61" spans="1:17" ht="14.25" customHeight="1">
      <c r="A61" s="14"/>
      <c r="B61" s="15"/>
      <c r="C61" s="15"/>
      <c r="D61" s="15"/>
      <c r="E61" s="15"/>
      <c r="F61" s="15"/>
      <c r="G61" s="15"/>
      <c r="H61" s="16"/>
      <c r="I61" s="9"/>
      <c r="J61" s="23"/>
      <c r="K61" s="24"/>
      <c r="L61" s="24"/>
      <c r="M61" s="24"/>
      <c r="N61" s="24"/>
      <c r="O61" s="24"/>
      <c r="P61" s="24"/>
      <c r="Q61" s="25"/>
    </row>
    <row r="62" spans="2:15" ht="14.25" customHeight="1">
      <c r="B62" t="s">
        <v>26</v>
      </c>
      <c r="C62" t="s">
        <v>23</v>
      </c>
      <c r="D62">
        <f>D59+120</f>
        <v>1120</v>
      </c>
      <c r="F62" t="s">
        <v>39</v>
      </c>
      <c r="I62" s="9"/>
      <c r="K62" t="s">
        <v>28</v>
      </c>
      <c r="L62" t="s">
        <v>23</v>
      </c>
      <c r="M62">
        <f>M57+196</f>
        <v>4800</v>
      </c>
      <c r="O62" t="s">
        <v>40</v>
      </c>
    </row>
    <row r="63" spans="2:15" ht="14.25" customHeight="1">
      <c r="B63" t="s">
        <v>30</v>
      </c>
      <c r="C63" t="s">
        <v>97</v>
      </c>
      <c r="D63">
        <f>D62+2</f>
        <v>1122</v>
      </c>
      <c r="F63" t="s">
        <v>32</v>
      </c>
      <c r="I63" s="9"/>
      <c r="K63" t="s">
        <v>33</v>
      </c>
      <c r="L63" t="s">
        <v>34</v>
      </c>
      <c r="M63">
        <f>M62+2</f>
        <v>4802</v>
      </c>
      <c r="O63" t="s">
        <v>41</v>
      </c>
    </row>
    <row r="64" spans="9:13" ht="14.25" customHeight="1">
      <c r="I64" s="9"/>
      <c r="K64" t="s">
        <v>106</v>
      </c>
      <c r="L64" t="s">
        <v>107</v>
      </c>
      <c r="M64">
        <f>M63+2</f>
        <v>4804</v>
      </c>
    </row>
    <row r="65" spans="9:9" ht="14.25" customHeight="1">
      <c r="I65" s="9"/>
    </row>
    <row r="66" spans="9:9" ht="14.25" customHeight="1">
      <c r="I66" s="9"/>
    </row>
    <row r="67" spans="9:9" ht="14.25" customHeight="1">
      <c r="I67" s="9"/>
    </row>
    <row r="68" spans="9:9" ht="14.25" customHeight="1">
      <c r="I68" s="9"/>
    </row>
    <row r="69" spans="9:9" ht="14.25" customHeight="1">
      <c r="I69" s="9"/>
    </row>
    <row r="70" spans="9:9" ht="14.25" customHeight="1">
      <c r="I70" s="9"/>
    </row>
    <row r="71" spans="9:9" ht="14.25" customHeight="1">
      <c r="I71" s="9"/>
    </row>
    <row r="72" spans="9:9" ht="14.25" customHeight="1">
      <c r="I72" s="9"/>
    </row>
    <row r="73" spans="9:9" ht="14.25" customHeight="1">
      <c r="I73" s="9"/>
    </row>
    <row r="74" spans="9:9" ht="14.25" customHeight="1">
      <c r="I74" s="10"/>
    </row>
  </sheetData>
  <mergeCells count="24">
    <mergeCell ref="A2:H3"/>
    <mergeCell ref="J2:Q3"/>
    <mergeCell ref="I2:I5"/>
    <mergeCell ref="A6:H7"/>
    <mergeCell ref="J6:Q7"/>
    <mergeCell ref="I6:I10"/>
    <mergeCell ref="A11:H12"/>
    <mergeCell ref="J11:Q12"/>
    <mergeCell ref="I11:I16"/>
    <mergeCell ref="A17:H18"/>
    <mergeCell ref="J17:Q18"/>
    <mergeCell ref="I17:I22"/>
    <mergeCell ref="A23:H24"/>
    <mergeCell ref="J23:Q24"/>
    <mergeCell ref="I23:I28"/>
    <mergeCell ref="A29:H30"/>
    <mergeCell ref="J29:Q30"/>
    <mergeCell ref="I29:I52"/>
    <mergeCell ref="A53:H54"/>
    <mergeCell ref="J53:Q54"/>
    <mergeCell ref="I53:I59"/>
    <mergeCell ref="A60:H61"/>
    <mergeCell ref="J60:Q61"/>
    <mergeCell ref="I60:I74"/>
  </mergeCells>
  <printOptions>
    <extLst>
      <ext uri="smNativeData">
        <pm:pageFlags xmlns:pm="smNativeData" id="177373642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73736424" l="56" r="56" t="56" b="56" borderId="0" fillId="0" vertical="0"/>
        <pm:footer xmlns:pm="smNativeData" id="1773736424" l="56" r="56" t="56" b="56" borderId="0" fillId="0" vertical="2"/>
        <pm:paperBin xmlns:pm="smNativeData" id="1773736424" Id="0" type="0" value="0"/>
        <pm:paperBin xmlns:pm="smNativeData" id="1773736424" Id="1" type="0" value="0"/>
      </ext>
    </extLst>
  </headerFooter>
  <extLst>
    <ext uri="smNativeData">
      <pm:sheetPrefs xmlns:pm="smNativeData" day="177373642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Q73"/>
  <sheetViews>
    <sheetView view="normal" zoomScale="105" workbookViewId="0">
      <selection activeCell="I2" sqref="I2:I5"/>
    </sheetView>
  </sheetViews>
  <sheetFormatPr defaultRowHeight="13.45"/>
  <cols>
    <col min="1" max="1" width="6.500000" customWidth="1"/>
    <col min="2" max="2" width="14.620690" customWidth="1"/>
    <col min="3" max="3" width="22.250000" customWidth="1"/>
    <col min="4" max="4" width="11.370690" customWidth="1"/>
    <col min="5" max="5" width="4.120690" customWidth="1"/>
    <col min="6" max="6" width="42.120690" customWidth="1"/>
    <col min="7" max="8" width="6.500000" customWidth="1"/>
    <col min="9" max="9" width="22.577586" customWidth="1"/>
    <col min="10" max="10" width="6.500000" customWidth="1"/>
    <col min="11" max="11" width="13.120690" customWidth="1"/>
    <col min="12" max="12" width="19.000000" customWidth="1"/>
    <col min="13" max="13" width="11.370690" customWidth="1"/>
    <col min="14" max="14" width="4.120690" customWidth="1"/>
    <col min="15" max="15" width="37.120690" customWidth="1"/>
    <col min="16" max="17" width="6.500000" customWidth="1"/>
  </cols>
  <sheetData>
    <row r="1" spans="1:17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4" t="s">
        <v>17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14.25" customHeight="1">
      <c r="A2" s="11" t="s">
        <v>18</v>
      </c>
      <c r="B2" s="12"/>
      <c r="C2" s="12"/>
      <c r="D2" s="12"/>
      <c r="E2" s="12"/>
      <c r="F2" s="12"/>
      <c r="G2" s="12"/>
      <c r="H2" s="13"/>
      <c r="I2" s="8" t="s">
        <v>19</v>
      </c>
      <c r="J2" s="20" t="s">
        <v>20</v>
      </c>
      <c r="K2" s="21"/>
      <c r="L2" s="21"/>
      <c r="M2" s="21"/>
      <c r="N2" s="21"/>
      <c r="O2" s="21"/>
      <c r="P2" s="21"/>
      <c r="Q2" s="22"/>
    </row>
    <row r="3" spans="1:17" ht="14.25" customHeight="1">
      <c r="A3" s="14"/>
      <c r="B3" s="15"/>
      <c r="C3" s="15"/>
      <c r="D3" s="15"/>
      <c r="E3" s="15"/>
      <c r="F3" s="15"/>
      <c r="G3" s="15"/>
      <c r="H3" s="16"/>
      <c r="I3" s="9"/>
      <c r="J3" s="23"/>
      <c r="K3" s="24"/>
      <c r="L3" s="24"/>
      <c r="M3" s="24"/>
      <c r="N3" s="24"/>
      <c r="O3" s="24"/>
      <c r="P3" s="24"/>
      <c r="Q3" s="25"/>
    </row>
    <row r="4" spans="2:17" ht="14.25" customHeight="1">
      <c r="B4" t="s">
        <v>21</v>
      </c>
      <c r="D4" t="n">
        <v>0</v>
      </c>
      <c r="H4" t="n">
        <v>200</v>
      </c>
      <c r="I4" s="9"/>
      <c r="K4" t="s">
        <v>22</v>
      </c>
      <c r="L4" t="s">
        <v>23</v>
      </c>
      <c r="M4" t="n">
        <v>4000</v>
      </c>
      <c r="O4" t="s">
        <v>24</v>
      </c>
      <c r="Q4" t="n">
        <v>200</v>
      </c>
    </row>
    <row r="5" spans="9:9" ht="14.25" customHeight="1">
      <c r="I5" s="9"/>
    </row>
    <row r="6" spans="1:17" ht="14.25" customHeight="1">
      <c r="A6" s="11" t="s">
        <v>18</v>
      </c>
      <c r="B6" s="12"/>
      <c r="C6" s="12"/>
      <c r="D6" s="12"/>
      <c r="E6" s="12"/>
      <c r="F6" s="12"/>
      <c r="G6" s="12"/>
      <c r="H6" s="13"/>
      <c r="I6" s="8" t="s">
        <v>25</v>
      </c>
      <c r="J6" s="20" t="s">
        <v>20</v>
      </c>
      <c r="K6" s="21"/>
      <c r="L6" s="21"/>
      <c r="M6" s="21"/>
      <c r="N6" s="21"/>
      <c r="O6" s="21"/>
      <c r="P6" s="21"/>
      <c r="Q6" s="22"/>
    </row>
    <row r="7" spans="1:17" ht="14.25" customHeight="1">
      <c r="A7" s="14"/>
      <c r="B7" s="15"/>
      <c r="C7" s="15"/>
      <c r="D7" s="15"/>
      <c r="E7" s="15"/>
      <c r="F7" s="15"/>
      <c r="G7" s="15"/>
      <c r="H7" s="16"/>
      <c r="I7" s="9"/>
      <c r="J7" s="23"/>
      <c r="K7" s="24"/>
      <c r="L7" s="24"/>
      <c r="M7" s="24"/>
      <c r="N7" s="24"/>
      <c r="O7" s="24"/>
      <c r="P7" s="24"/>
      <c r="Q7" s="25"/>
    </row>
    <row r="8" spans="2:15" ht="14.25" customHeight="1">
      <c r="B8" t="s">
        <v>26</v>
      </c>
      <c r="C8" t="s">
        <v>23</v>
      </c>
      <c r="D8" t="n">
        <v>100</v>
      </c>
      <c r="F8" t="s">
        <v>27</v>
      </c>
      <c r="I8" s="9"/>
      <c r="K8" t="s">
        <v>28</v>
      </c>
      <c r="L8" t="s">
        <v>23</v>
      </c>
      <c r="M8">
        <f>M4+100</f>
        <v>4100</v>
      </c>
      <c r="N8" t="n">
        <v>0</v>
      </c>
      <c r="O8" t="s">
        <v>29</v>
      </c>
    </row>
    <row r="9" spans="2:15" ht="14.25" customHeight="1">
      <c r="B9" t="s">
        <v>30</v>
      </c>
      <c r="C9" t="s">
        <v>31</v>
      </c>
      <c r="D9">
        <f>D8+2</f>
        <v>102</v>
      </c>
      <c r="F9" t="s">
        <v>32</v>
      </c>
      <c r="I9" s="9"/>
      <c r="K9" t="s">
        <v>33</v>
      </c>
      <c r="L9" t="s">
        <v>34</v>
      </c>
      <c r="M9">
        <f>M8+2</f>
        <v>4102</v>
      </c>
      <c r="O9" t="s">
        <v>35</v>
      </c>
    </row>
    <row r="10" spans="2:13" ht="14.25" customHeight="1">
      <c r="B10" t="s">
        <v>36</v>
      </c>
      <c r="D10">
        <f>D9+26</f>
        <v>128</v>
      </c>
      <c r="I10" s="10"/>
      <c r="K10" t="s">
        <v>37</v>
      </c>
      <c r="M10">
        <f>M9+2</f>
        <v>4104</v>
      </c>
    </row>
    <row r="11" spans="1:17" ht="14.25" customHeight="1">
      <c r="A11" s="11" t="s">
        <v>18</v>
      </c>
      <c r="B11" s="12"/>
      <c r="C11" s="12"/>
      <c r="D11" s="12"/>
      <c r="E11" s="12"/>
      <c r="F11" s="12"/>
      <c r="G11" s="12"/>
      <c r="H11" s="13"/>
      <c r="I11" s="8" t="s">
        <v>38</v>
      </c>
      <c r="J11" s="20" t="s">
        <v>20</v>
      </c>
      <c r="K11" s="21"/>
      <c r="L11" s="21"/>
      <c r="M11" s="21"/>
      <c r="N11" s="21"/>
      <c r="O11" s="21"/>
      <c r="P11" s="21"/>
      <c r="Q11" s="22"/>
    </row>
    <row r="12" spans="1:17" ht="14.25" customHeight="1">
      <c r="A12" s="14"/>
      <c r="B12" s="15"/>
      <c r="C12" s="15"/>
      <c r="D12" s="15"/>
      <c r="E12" s="15"/>
      <c r="F12" s="15"/>
      <c r="G12" s="15"/>
      <c r="H12" s="16"/>
      <c r="I12" s="9"/>
      <c r="J12" s="23"/>
      <c r="K12" s="24"/>
      <c r="L12" s="24"/>
      <c r="M12" s="24"/>
      <c r="N12" s="24"/>
      <c r="O12" s="24"/>
      <c r="P12" s="24"/>
      <c r="Q12" s="25"/>
    </row>
    <row r="13" spans="2:15" ht="14.25" customHeight="1">
      <c r="B13" t="s">
        <v>26</v>
      </c>
      <c r="C13" t="s">
        <v>23</v>
      </c>
      <c r="D13">
        <f>D10+72</f>
        <v>200</v>
      </c>
      <c r="F13" t="s">
        <v>39</v>
      </c>
      <c r="I13" s="9"/>
      <c r="K13" t="s">
        <v>28</v>
      </c>
      <c r="L13" t="s">
        <v>23</v>
      </c>
      <c r="M13">
        <f>M10+96</f>
        <v>4200</v>
      </c>
      <c r="O13" t="s">
        <v>40</v>
      </c>
    </row>
    <row r="14" spans="2:15" ht="14.25" customHeight="1">
      <c r="B14" t="s">
        <v>30</v>
      </c>
      <c r="C14" t="s">
        <v>31</v>
      </c>
      <c r="D14">
        <f>D13+2</f>
        <v>202</v>
      </c>
      <c r="F14" t="s">
        <v>32</v>
      </c>
      <c r="I14" s="9"/>
      <c r="K14" t="s">
        <v>33</v>
      </c>
      <c r="L14" t="s">
        <v>34</v>
      </c>
      <c r="M14">
        <f>M13+2</f>
        <v>4202</v>
      </c>
      <c r="O14" t="s">
        <v>41</v>
      </c>
    </row>
    <row r="15" spans="2:13" ht="14.25" customHeight="1">
      <c r="B15" t="s">
        <v>42</v>
      </c>
      <c r="C15" t="s">
        <v>31</v>
      </c>
      <c r="D15">
        <f>D14+26</f>
        <v>228</v>
      </c>
      <c r="F15" t="s">
        <v>43</v>
      </c>
      <c r="I15" s="9"/>
      <c r="K15" t="s">
        <v>37</v>
      </c>
      <c r="M15">
        <f>M14+2</f>
        <v>4204</v>
      </c>
    </row>
    <row r="16" spans="2:9" ht="14.25" customHeight="1">
      <c r="B16" t="s">
        <v>44</v>
      </c>
      <c r="D16">
        <f>D15+26</f>
        <v>254</v>
      </c>
      <c r="I16" s="10"/>
    </row>
    <row r="17" spans="1:17" ht="14.25" customHeight="1">
      <c r="A17" s="11" t="s">
        <v>18</v>
      </c>
      <c r="B17" s="12"/>
      <c r="C17" s="12"/>
      <c r="D17" s="12"/>
      <c r="E17" s="12"/>
      <c r="F17" s="12"/>
      <c r="G17" s="12"/>
      <c r="H17" s="13"/>
      <c r="I17" s="8" t="s">
        <v>45</v>
      </c>
      <c r="J17" s="20" t="s">
        <v>20</v>
      </c>
      <c r="K17" s="21"/>
      <c r="L17" s="21"/>
      <c r="M17" s="21"/>
      <c r="N17" s="21"/>
      <c r="O17" s="21"/>
      <c r="P17" s="21"/>
      <c r="Q17" s="22"/>
    </row>
    <row r="18" spans="1:17" ht="14.25" customHeight="1">
      <c r="A18" s="14"/>
      <c r="B18" s="15"/>
      <c r="C18" s="15"/>
      <c r="D18" s="15"/>
      <c r="E18" s="15"/>
      <c r="F18" s="15"/>
      <c r="G18" s="15"/>
      <c r="H18" s="16"/>
      <c r="I18" s="9"/>
      <c r="J18" s="23"/>
      <c r="K18" s="24"/>
      <c r="L18" s="24"/>
      <c r="M18" s="24"/>
      <c r="N18" s="24"/>
      <c r="O18" s="24"/>
      <c r="P18" s="24"/>
      <c r="Q18" s="25"/>
    </row>
    <row r="19" spans="2:15" ht="14.25" customHeight="1">
      <c r="B19" t="s">
        <v>26</v>
      </c>
      <c r="C19" t="s">
        <v>23</v>
      </c>
      <c r="D19">
        <f>D16+46</f>
        <v>300</v>
      </c>
      <c r="F19" t="s">
        <v>39</v>
      </c>
      <c r="I19" s="9"/>
      <c r="K19" t="s">
        <v>28</v>
      </c>
      <c r="L19" t="s">
        <v>23</v>
      </c>
      <c r="M19">
        <f>M15+96</f>
        <v>4300</v>
      </c>
      <c r="O19" t="s">
        <v>40</v>
      </c>
    </row>
    <row r="20" spans="2:15" ht="14.25" customHeight="1">
      <c r="B20" t="s">
        <v>30</v>
      </c>
      <c r="C20" t="s">
        <v>31</v>
      </c>
      <c r="D20">
        <f>D19+2</f>
        <v>302</v>
      </c>
      <c r="F20" t="s">
        <v>46</v>
      </c>
      <c r="I20" s="9"/>
      <c r="K20" t="s">
        <v>33</v>
      </c>
      <c r="L20" t="s">
        <v>34</v>
      </c>
      <c r="M20">
        <f>M19+2</f>
        <v>4302</v>
      </c>
      <c r="O20" t="s">
        <v>41</v>
      </c>
    </row>
    <row r="21" spans="2:13" ht="14.25" customHeight="1">
      <c r="B21" t="s">
        <v>47</v>
      </c>
      <c r="C21" t="s">
        <v>31</v>
      </c>
      <c r="D21">
        <f>D20+26</f>
        <v>328</v>
      </c>
      <c r="F21" t="s">
        <v>48</v>
      </c>
      <c r="I21" s="9"/>
      <c r="K21" t="s">
        <v>37</v>
      </c>
      <c r="M21">
        <f>M20+2</f>
        <v>4304</v>
      </c>
    </row>
    <row r="22" spans="2:9" ht="14.25" customHeight="1">
      <c r="B22" t="s">
        <v>44</v>
      </c>
      <c r="D22">
        <f>D21+26</f>
        <v>354</v>
      </c>
      <c r="I22" s="10"/>
    </row>
    <row r="23" spans="1:17" ht="14.25" customHeight="1">
      <c r="A23" s="11" t="s">
        <v>18</v>
      </c>
      <c r="B23" s="12"/>
      <c r="C23" s="12"/>
      <c r="D23" s="12"/>
      <c r="E23" s="12"/>
      <c r="F23" s="12"/>
      <c r="G23" s="12"/>
      <c r="H23" s="13"/>
      <c r="I23" s="8" t="s">
        <v>49</v>
      </c>
      <c r="J23" s="20" t="s">
        <v>20</v>
      </c>
      <c r="K23" s="21"/>
      <c r="L23" s="21"/>
      <c r="M23" s="21"/>
      <c r="N23" s="21"/>
      <c r="O23" s="21"/>
      <c r="P23" s="21"/>
      <c r="Q23" s="22"/>
    </row>
    <row r="24" spans="1:17" ht="14.25" customHeight="1">
      <c r="A24" s="14"/>
      <c r="B24" s="15"/>
      <c r="C24" s="15"/>
      <c r="D24" s="15"/>
      <c r="E24" s="15"/>
      <c r="F24" s="15"/>
      <c r="G24" s="15"/>
      <c r="H24" s="16"/>
      <c r="I24" s="9"/>
      <c r="J24" s="23"/>
      <c r="K24" s="24"/>
      <c r="L24" s="24"/>
      <c r="M24" s="24"/>
      <c r="N24" s="24"/>
      <c r="O24" s="24"/>
      <c r="P24" s="24"/>
      <c r="Q24" s="25"/>
    </row>
    <row r="25" spans="2:15" ht="14.25" customHeight="1">
      <c r="B25" t="s">
        <v>26</v>
      </c>
      <c r="C25" t="s">
        <v>23</v>
      </c>
      <c r="D25">
        <f>D22+46</f>
        <v>400</v>
      </c>
      <c r="F25" t="s">
        <v>39</v>
      </c>
      <c r="I25" s="9"/>
      <c r="K25" t="s">
        <v>28</v>
      </c>
      <c r="L25" t="s">
        <v>23</v>
      </c>
      <c r="M25">
        <f>M21+96</f>
        <v>4400</v>
      </c>
      <c r="O25" t="s">
        <v>40</v>
      </c>
    </row>
    <row r="26" spans="2:15" ht="14.25" customHeight="1">
      <c r="B26" t="s">
        <v>50</v>
      </c>
      <c r="D26">
        <f>D25+2</f>
        <v>402</v>
      </c>
      <c r="I26" s="9"/>
      <c r="K26" t="s">
        <v>33</v>
      </c>
      <c r="L26" t="s">
        <v>34</v>
      </c>
      <c r="M26">
        <f>M25+2</f>
        <v>4402</v>
      </c>
      <c r="O26" t="s">
        <v>41</v>
      </c>
    </row>
    <row r="27" spans="9:15" ht="14.25" customHeight="1">
      <c r="I27" s="9"/>
      <c r="K27" t="s">
        <v>42</v>
      </c>
      <c r="L27" t="s">
        <v>31</v>
      </c>
      <c r="M27">
        <f>M26+2</f>
        <v>4404</v>
      </c>
      <c r="O27" t="s">
        <v>51</v>
      </c>
    </row>
    <row r="28" spans="9:13" ht="14.25" customHeight="1">
      <c r="I28" s="10"/>
      <c r="K28" t="s">
        <v>52</v>
      </c>
      <c r="M28">
        <f>M27+26</f>
        <v>4430</v>
      </c>
    </row>
    <row r="29" spans="1:17" ht="14.25" customHeight="1">
      <c r="A29" s="11" t="s">
        <v>18</v>
      </c>
      <c r="B29" s="12"/>
      <c r="C29" s="12"/>
      <c r="D29" s="12"/>
      <c r="E29" s="12"/>
      <c r="F29" s="12"/>
      <c r="G29" s="12"/>
      <c r="H29" s="13"/>
      <c r="I29" s="17" t="s">
        <v>53</v>
      </c>
      <c r="J29" s="20" t="s">
        <v>20</v>
      </c>
      <c r="K29" s="21"/>
      <c r="L29" s="21"/>
      <c r="M29" s="21"/>
      <c r="N29" s="21"/>
      <c r="O29" s="21"/>
      <c r="P29" s="21"/>
      <c r="Q29" s="22"/>
    </row>
    <row r="30" spans="1:17" ht="14.25" customHeight="1">
      <c r="A30" s="14"/>
      <c r="B30" s="15"/>
      <c r="C30" s="15"/>
      <c r="D30" s="15"/>
      <c r="E30" s="15"/>
      <c r="F30" s="15"/>
      <c r="G30" s="15"/>
      <c r="H30" s="16"/>
      <c r="I30" s="18"/>
      <c r="J30" s="23"/>
      <c r="K30" s="24"/>
      <c r="L30" s="24"/>
      <c r="M30" s="24"/>
      <c r="N30" s="24"/>
      <c r="O30" s="24"/>
      <c r="P30" s="24"/>
      <c r="Q30" s="25"/>
    </row>
    <row r="31" spans="2:15" ht="14.25" customHeight="1">
      <c r="B31" t="s">
        <v>26</v>
      </c>
      <c r="C31" t="s">
        <v>23</v>
      </c>
      <c r="D31">
        <f>D26+98</f>
        <v>500</v>
      </c>
      <c r="F31" t="s">
        <v>39</v>
      </c>
      <c r="I31" s="18"/>
      <c r="K31" t="s">
        <v>28</v>
      </c>
      <c r="L31" t="s">
        <v>23</v>
      </c>
      <c r="M31">
        <f>M28+70</f>
        <v>4500</v>
      </c>
      <c r="O31" t="s">
        <v>40</v>
      </c>
    </row>
    <row r="32" spans="2:15" ht="14.25" customHeight="1">
      <c r="B32" t="s">
        <v>54</v>
      </c>
      <c r="C32" t="s">
        <v>55</v>
      </c>
      <c r="D32">
        <f>D31+2</f>
        <v>502</v>
      </c>
      <c r="F32" t="s">
        <v>56</v>
      </c>
      <c r="I32" s="18"/>
      <c r="K32" t="s">
        <v>33</v>
      </c>
      <c r="L32" t="s">
        <v>34</v>
      </c>
      <c r="M32">
        <f>M31+2</f>
        <v>4502</v>
      </c>
      <c r="O32" t="s">
        <v>41</v>
      </c>
    </row>
    <row r="33" spans="2:13" ht="14.25" customHeight="1">
      <c r="B33" t="s">
        <v>57</v>
      </c>
      <c r="C33" t="s">
        <v>55</v>
      </c>
      <c r="D33">
        <f>D32+4</f>
        <v>506</v>
      </c>
      <c r="F33" t="s">
        <v>58</v>
      </c>
      <c r="I33" s="18"/>
      <c r="K33" t="s">
        <v>37</v>
      </c>
      <c r="M33">
        <f>M32+2</f>
        <v>4504</v>
      </c>
    </row>
    <row r="34" spans="2:9" ht="14.25" customHeight="1">
      <c r="B34" t="s">
        <v>59</v>
      </c>
      <c r="C34" t="s">
        <v>55</v>
      </c>
      <c r="D34">
        <f>D33+4</f>
        <v>510</v>
      </c>
      <c r="F34" t="s">
        <v>60</v>
      </c>
      <c r="I34" s="18"/>
    </row>
    <row r="35" spans="2:9" ht="14.25" customHeight="1">
      <c r="B35" t="s">
        <v>61</v>
      </c>
      <c r="C35" t="s">
        <v>55</v>
      </c>
      <c r="D35">
        <f>D34+4</f>
        <v>514</v>
      </c>
      <c r="F35" t="s">
        <v>62</v>
      </c>
      <c r="I35" s="18"/>
    </row>
    <row r="36" spans="2:9" ht="14.25" customHeight="1">
      <c r="B36" t="s">
        <v>63</v>
      </c>
      <c r="C36" t="s">
        <v>55</v>
      </c>
      <c r="D36">
        <f>D35+4</f>
        <v>518</v>
      </c>
      <c r="F36" t="s">
        <v>64</v>
      </c>
      <c r="I36" s="18"/>
    </row>
    <row r="37" spans="2:9" ht="14.25" customHeight="1">
      <c r="B37" t="s">
        <v>65</v>
      </c>
      <c r="C37" t="s">
        <v>55</v>
      </c>
      <c r="D37">
        <f>D36+4</f>
        <v>522</v>
      </c>
      <c r="F37" t="s">
        <v>66</v>
      </c>
      <c r="I37" s="18"/>
    </row>
    <row r="38" spans="2:9" ht="14.25" customHeight="1">
      <c r="B38" t="s">
        <v>67</v>
      </c>
      <c r="C38" t="s">
        <v>55</v>
      </c>
      <c r="D38">
        <f>D37+4</f>
        <v>526</v>
      </c>
      <c r="F38" t="s">
        <v>68</v>
      </c>
      <c r="I38" s="18"/>
    </row>
    <row r="39" spans="2:9" ht="14.25" customHeight="1">
      <c r="B39" t="s">
        <v>69</v>
      </c>
      <c r="C39" t="s">
        <v>55</v>
      </c>
      <c r="D39">
        <f>D38+4</f>
        <v>530</v>
      </c>
      <c r="F39" t="s">
        <v>70</v>
      </c>
      <c r="I39" s="18"/>
    </row>
    <row r="40" spans="2:9" ht="14.25" customHeight="1">
      <c r="B40" t="s">
        <v>71</v>
      </c>
      <c r="C40" t="s">
        <v>55</v>
      </c>
      <c r="D40">
        <f>D39+4</f>
        <v>534</v>
      </c>
      <c r="F40" t="s">
        <v>72</v>
      </c>
      <c r="I40" s="18"/>
    </row>
    <row r="41" spans="2:9" ht="14.25" customHeight="1">
      <c r="B41" t="s">
        <v>73</v>
      </c>
      <c r="C41" t="s">
        <v>55</v>
      </c>
      <c r="D41">
        <f>D40+4</f>
        <v>538</v>
      </c>
      <c r="F41" t="s">
        <v>74</v>
      </c>
      <c r="I41" s="18"/>
    </row>
    <row r="42" spans="2:9" ht="25.50" customHeight="1">
      <c r="B42" t="s">
        <v>95</v>
      </c>
      <c r="D42">
        <f>D41+4</f>
        <v>542</v>
      </c>
      <c r="I42" s="19"/>
    </row>
    <row r="43" spans="1:17" ht="14.25" customHeight="1">
      <c r="A43" s="11" t="s">
        <v>18</v>
      </c>
      <c r="B43" s="12"/>
      <c r="C43" s="12"/>
      <c r="D43" s="12"/>
      <c r="E43" s="12"/>
      <c r="F43" s="12"/>
      <c r="G43" s="12"/>
      <c r="H43" s="13"/>
      <c r="I43" s="8" t="s">
        <v>96</v>
      </c>
      <c r="J43" s="20" t="s">
        <v>20</v>
      </c>
      <c r="K43" s="21"/>
      <c r="L43" s="21"/>
      <c r="M43" s="21"/>
      <c r="N43" s="21"/>
      <c r="O43" s="21"/>
      <c r="P43" s="21"/>
      <c r="Q43" s="22"/>
    </row>
    <row r="44" spans="1:17" ht="14.25" customHeight="1">
      <c r="A44" s="14"/>
      <c r="B44" s="15"/>
      <c r="C44" s="15"/>
      <c r="D44" s="15"/>
      <c r="E44" s="15"/>
      <c r="F44" s="15"/>
      <c r="G44" s="15"/>
      <c r="H44" s="16"/>
      <c r="I44" s="9"/>
      <c r="J44" s="23"/>
      <c r="K44" s="24"/>
      <c r="L44" s="24"/>
      <c r="M44" s="24"/>
      <c r="N44" s="24"/>
      <c r="O44" s="24"/>
      <c r="P44" s="24"/>
      <c r="Q44" s="25"/>
    </row>
    <row r="45" spans="2:15" ht="14.25" customHeight="1">
      <c r="B45" t="s">
        <v>26</v>
      </c>
      <c r="C45" t="s">
        <v>23</v>
      </c>
      <c r="D45">
        <f>D42+58</f>
        <v>600</v>
      </c>
      <c r="F45" t="s">
        <v>39</v>
      </c>
      <c r="I45" s="9"/>
      <c r="K45" t="s">
        <v>28</v>
      </c>
      <c r="L45" t="s">
        <v>23</v>
      </c>
      <c r="M45">
        <f>M33+96</f>
        <v>4600</v>
      </c>
      <c r="O45" t="s">
        <v>40</v>
      </c>
    </row>
    <row r="46" spans="2:15" ht="14.25" customHeight="1">
      <c r="B46" t="s">
        <v>30</v>
      </c>
      <c r="C46" t="s">
        <v>97</v>
      </c>
      <c r="D46">
        <f>D45+2</f>
        <v>602</v>
      </c>
      <c r="F46" t="s">
        <v>32</v>
      </c>
      <c r="I46" s="9"/>
      <c r="K46" t="s">
        <v>33</v>
      </c>
      <c r="L46" t="s">
        <v>34</v>
      </c>
      <c r="M46">
        <f>M45+2</f>
        <v>4602</v>
      </c>
      <c r="O46" t="s">
        <v>41</v>
      </c>
    </row>
    <row r="47" spans="2:13" ht="14.25" customHeight="1">
      <c r="B47" t="s">
        <v>98</v>
      </c>
      <c r="C47" t="s">
        <v>99</v>
      </c>
      <c r="D47">
        <f>D46+26</f>
        <v>628</v>
      </c>
      <c r="F47" t="s">
        <v>100</v>
      </c>
      <c r="I47" s="9"/>
      <c r="K47" t="s">
        <v>101</v>
      </c>
      <c r="M47">
        <f>M46+2</f>
        <v>4604</v>
      </c>
    </row>
    <row r="48" spans="2:9" ht="14.25" customHeight="1">
      <c r="B48" t="s">
        <v>108</v>
      </c>
      <c r="C48" t="s">
        <v>55</v>
      </c>
      <c r="D48">
        <f>D47+12</f>
        <v>640</v>
      </c>
      <c r="F48" t="s">
        <v>109</v>
      </c>
      <c r="I48" s="9"/>
    </row>
    <row r="49" spans="2:9" ht="14.25" customHeight="1">
      <c r="B49" t="s">
        <v>110</v>
      </c>
      <c r="C49" t="s">
        <v>55</v>
      </c>
      <c r="D49">
        <f>D48+4</f>
        <v>644</v>
      </c>
      <c r="F49" t="s">
        <v>111</v>
      </c>
      <c r="I49" s="9"/>
    </row>
    <row r="50" spans="2:9" ht="14.25" customHeight="1">
      <c r="B50" t="s">
        <v>112</v>
      </c>
      <c r="C50" t="s">
        <v>55</v>
      </c>
      <c r="D50">
        <f>D49+4</f>
        <v>648</v>
      </c>
      <c r="F50" t="s">
        <v>113</v>
      </c>
      <c r="I50" s="9"/>
    </row>
    <row r="51" spans="2:9" ht="14.25" customHeight="1">
      <c r="B51" t="s">
        <v>114</v>
      </c>
      <c r="C51" t="s">
        <v>55</v>
      </c>
      <c r="D51">
        <f>D50+4</f>
        <v>652</v>
      </c>
      <c r="F51" t="s">
        <v>115</v>
      </c>
      <c r="I51" s="9"/>
    </row>
    <row r="52" spans="2:9" ht="14.25" customHeight="1">
      <c r="B52" t="s">
        <v>116</v>
      </c>
      <c r="C52" t="s">
        <v>55</v>
      </c>
      <c r="D52">
        <f>D51+4</f>
        <v>656</v>
      </c>
      <c r="F52" t="s">
        <v>117</v>
      </c>
      <c r="I52" s="9"/>
    </row>
    <row r="53" spans="2:9" ht="14.25" customHeight="1">
      <c r="B53" t="s">
        <v>118</v>
      </c>
      <c r="C53" t="s">
        <v>55</v>
      </c>
      <c r="D53">
        <f>D52+4</f>
        <v>660</v>
      </c>
      <c r="F53" t="s">
        <v>119</v>
      </c>
      <c r="I53" s="9"/>
    </row>
    <row r="54" spans="2:9" ht="14.25" customHeight="1">
      <c r="B54" t="s">
        <v>120</v>
      </c>
      <c r="C54" t="s">
        <v>55</v>
      </c>
      <c r="D54">
        <f>D53+4</f>
        <v>664</v>
      </c>
      <c r="F54" t="s">
        <v>121</v>
      </c>
      <c r="I54" s="9"/>
    </row>
    <row r="55" spans="2:9" ht="14.25" customHeight="1">
      <c r="B55" t="s">
        <v>122</v>
      </c>
      <c r="C55" t="s">
        <v>55</v>
      </c>
      <c r="D55">
        <f>D54+4</f>
        <v>668</v>
      </c>
      <c r="F55" t="s">
        <v>123</v>
      </c>
      <c r="I55" s="9"/>
    </row>
    <row r="56" spans="2:9" ht="14.25" customHeight="1">
      <c r="B56" t="s">
        <v>124</v>
      </c>
      <c r="C56" t="s">
        <v>55</v>
      </c>
      <c r="D56">
        <f>D55+4</f>
        <v>672</v>
      </c>
      <c r="F56" t="s">
        <v>125</v>
      </c>
      <c r="I56" s="9"/>
    </row>
    <row r="57" spans="2:9" ht="14.25" customHeight="1">
      <c r="B57" t="s">
        <v>126</v>
      </c>
      <c r="C57" t="s">
        <v>55</v>
      </c>
      <c r="D57">
        <f>D56+4</f>
        <v>676</v>
      </c>
      <c r="F57" t="s">
        <v>127</v>
      </c>
      <c r="I57" s="9"/>
    </row>
    <row r="58" spans="2:9">
      <c r="B58" t="s">
        <v>104</v>
      </c>
      <c r="D58">
        <f>D57+4</f>
        <v>680</v>
      </c>
      <c r="I58" s="10"/>
    </row>
    <row r="59" spans="1:17" ht="14.25" customHeight="1">
      <c r="A59" s="11" t="s">
        <v>18</v>
      </c>
      <c r="B59" s="12"/>
      <c r="C59" s="12"/>
      <c r="D59" s="12"/>
      <c r="E59" s="12"/>
      <c r="F59" s="12"/>
      <c r="G59" s="12"/>
      <c r="H59" s="13"/>
      <c r="I59" s="8" t="s">
        <v>128</v>
      </c>
      <c r="J59" s="20" t="s">
        <v>20</v>
      </c>
      <c r="K59" s="21"/>
      <c r="L59" s="21"/>
      <c r="M59" s="21"/>
      <c r="N59" s="21"/>
      <c r="O59" s="21"/>
      <c r="P59" s="21"/>
      <c r="Q59" s="22"/>
    </row>
    <row r="60" spans="1:17" ht="14.25" customHeight="1">
      <c r="A60" s="14"/>
      <c r="B60" s="15"/>
      <c r="C60" s="15"/>
      <c r="D60" s="15"/>
      <c r="E60" s="15"/>
      <c r="F60" s="15"/>
      <c r="G60" s="15"/>
      <c r="H60" s="16"/>
      <c r="I60" s="9"/>
      <c r="J60" s="23"/>
      <c r="K60" s="24"/>
      <c r="L60" s="24"/>
      <c r="M60" s="24"/>
      <c r="N60" s="24"/>
      <c r="O60" s="24"/>
      <c r="P60" s="24"/>
      <c r="Q60" s="25"/>
    </row>
    <row r="61" spans="2:15" ht="14.25" customHeight="1">
      <c r="B61" t="s">
        <v>26</v>
      </c>
      <c r="C61" t="s">
        <v>23</v>
      </c>
      <c r="D61">
        <f>D58+120</f>
        <v>800</v>
      </c>
      <c r="F61" t="s">
        <v>39</v>
      </c>
      <c r="I61" s="9"/>
      <c r="K61" t="s">
        <v>28</v>
      </c>
      <c r="L61" t="s">
        <v>23</v>
      </c>
      <c r="M61">
        <f>M47+196</f>
        <v>4800</v>
      </c>
      <c r="O61" t="s">
        <v>40</v>
      </c>
    </row>
    <row r="62" spans="2:15" ht="14.25" customHeight="1">
      <c r="B62" t="s">
        <v>30</v>
      </c>
      <c r="C62" t="s">
        <v>97</v>
      </c>
      <c r="D62">
        <f>D61+2</f>
        <v>802</v>
      </c>
      <c r="F62" t="s">
        <v>32</v>
      </c>
      <c r="I62" s="9"/>
      <c r="K62" t="s">
        <v>33</v>
      </c>
      <c r="L62" t="s">
        <v>34</v>
      </c>
      <c r="M62">
        <f>M61+2</f>
        <v>4802</v>
      </c>
      <c r="O62" t="s">
        <v>41</v>
      </c>
    </row>
    <row r="63" spans="9:9" ht="14.25" customHeight="1">
      <c r="I63" s="9"/>
    </row>
    <row r="64" spans="9:9" ht="14.25" customHeight="1">
      <c r="I64" s="9"/>
    </row>
    <row r="65" spans="9:9" ht="14.25" customHeight="1">
      <c r="I65" s="9"/>
    </row>
    <row r="66" spans="9:9" ht="14.25" customHeight="1">
      <c r="I66" s="9"/>
    </row>
    <row r="67" spans="9:9" ht="14.25" customHeight="1">
      <c r="I67" s="9"/>
    </row>
    <row r="68" spans="9:9" ht="14.25" customHeight="1">
      <c r="I68" s="9"/>
    </row>
    <row r="69" spans="9:9" ht="14.25" customHeight="1">
      <c r="I69" s="9"/>
    </row>
    <row r="70" spans="9:9" ht="14.25" customHeight="1">
      <c r="I70" s="9"/>
    </row>
    <row r="71" spans="9:9" ht="14.25" customHeight="1">
      <c r="I71" s="9"/>
    </row>
    <row r="72" spans="9:9" ht="14.25" customHeight="1">
      <c r="I72" s="9"/>
    </row>
    <row r="73" spans="9:9" ht="14.25" customHeight="1">
      <c r="I73" s="10"/>
    </row>
  </sheetData>
  <mergeCells count="24">
    <mergeCell ref="A2:H3"/>
    <mergeCell ref="J2:Q3"/>
    <mergeCell ref="I2:I5"/>
    <mergeCell ref="A6:H7"/>
    <mergeCell ref="J6:Q7"/>
    <mergeCell ref="I6:I10"/>
    <mergeCell ref="A11:H12"/>
    <mergeCell ref="J11:Q12"/>
    <mergeCell ref="I11:I16"/>
    <mergeCell ref="A17:H18"/>
    <mergeCell ref="J17:Q18"/>
    <mergeCell ref="I17:I22"/>
    <mergeCell ref="A23:H24"/>
    <mergeCell ref="J23:Q24"/>
    <mergeCell ref="I23:I28"/>
    <mergeCell ref="A29:H30"/>
    <mergeCell ref="J29:Q30"/>
    <mergeCell ref="I29:I42"/>
    <mergeCell ref="A43:H44"/>
    <mergeCell ref="J43:Q44"/>
    <mergeCell ref="I43:I58"/>
    <mergeCell ref="A59:H60"/>
    <mergeCell ref="J59:Q60"/>
    <mergeCell ref="I59:I73"/>
  </mergeCells>
  <printOptions>
    <extLst>
      <ext uri="smNativeData">
        <pm:pageFlags xmlns:pm="smNativeData" id="177373642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73736424" l="56" r="56" t="56" b="56" borderId="0" fillId="0" vertical="0"/>
        <pm:footer xmlns:pm="smNativeData" id="1773736424" l="56" r="56" t="56" b="56" borderId="0" fillId="0" vertical="2"/>
        <pm:paperBin xmlns:pm="smNativeData" id="1773736424" Id="0" type="0" value="0"/>
        <pm:paperBin xmlns:pm="smNativeData" id="1773736424" Id="1" type="0" value="0"/>
      </ext>
    </extLst>
  </headerFooter>
  <extLst>
    <ext uri="smNativeData">
      <pm:sheetPrefs xmlns:pm="smNativeData" day="177373642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Q59"/>
  <sheetViews>
    <sheetView view="normal" topLeftCell="A31" workbookViewId="0">
      <selection activeCell="I5" sqref="I2:I5"/>
    </sheetView>
  </sheetViews>
  <sheetFormatPr defaultRowHeight="13.45"/>
  <cols>
    <col min="1" max="1" width="6.500000" customWidth="1"/>
    <col min="2" max="2" width="14.620690" customWidth="1"/>
    <col min="3" max="3" width="26.568966" customWidth="1"/>
    <col min="4" max="4" width="11.370690" customWidth="1"/>
    <col min="5" max="5" width="4.120690" customWidth="1"/>
    <col min="6" max="6" width="42.120690" customWidth="1"/>
    <col min="7" max="8" width="6.500000" customWidth="1"/>
    <col min="9" max="9" width="34.750000" customWidth="1"/>
    <col min="10" max="10" width="6.500000" customWidth="1"/>
    <col min="11" max="11" width="13.120690" customWidth="1"/>
    <col min="12" max="12" width="19.000000" customWidth="1"/>
    <col min="13" max="13" width="11.370690" customWidth="1"/>
    <col min="14" max="14" width="4.120690" customWidth="1"/>
    <col min="15" max="15" width="37.120690" customWidth="1"/>
    <col min="16" max="17" width="6.500000" customWidth="1"/>
  </cols>
  <sheetData>
    <row r="1" spans="1:17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4" t="s">
        <v>17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14.25" customHeight="1">
      <c r="A2" s="11" t="s">
        <v>18</v>
      </c>
      <c r="B2" s="12"/>
      <c r="C2" s="12"/>
      <c r="D2" s="12"/>
      <c r="E2" s="12"/>
      <c r="F2" s="12"/>
      <c r="G2" s="12"/>
      <c r="H2" s="13"/>
      <c r="I2" s="8" t="s">
        <v>19</v>
      </c>
      <c r="J2" s="20" t="s">
        <v>20</v>
      </c>
      <c r="K2" s="21"/>
      <c r="L2" s="21"/>
      <c r="M2" s="21"/>
      <c r="N2" s="21"/>
      <c r="O2" s="21"/>
      <c r="P2" s="21"/>
      <c r="Q2" s="22"/>
    </row>
    <row r="3" spans="1:17" ht="14.25" customHeight="1">
      <c r="A3" s="14"/>
      <c r="B3" s="15"/>
      <c r="C3" s="15"/>
      <c r="D3" s="15"/>
      <c r="E3" s="15"/>
      <c r="F3" s="15"/>
      <c r="G3" s="15"/>
      <c r="H3" s="16"/>
      <c r="I3" s="9"/>
      <c r="J3" s="23"/>
      <c r="K3" s="24"/>
      <c r="L3" s="24"/>
      <c r="M3" s="24"/>
      <c r="N3" s="24"/>
      <c r="O3" s="24"/>
      <c r="P3" s="24"/>
      <c r="Q3" s="25"/>
    </row>
    <row r="4" spans="2:17" ht="14.25" customHeight="1">
      <c r="B4" t="s">
        <v>21</v>
      </c>
      <c r="D4" t="n">
        <v>0</v>
      </c>
      <c r="H4" t="n">
        <v>200</v>
      </c>
      <c r="I4" s="9"/>
      <c r="K4" t="s">
        <v>22</v>
      </c>
      <c r="L4" t="s">
        <v>23</v>
      </c>
      <c r="M4" t="n">
        <v>4000</v>
      </c>
      <c r="O4" t="s">
        <v>24</v>
      </c>
      <c r="Q4" t="n">
        <v>200</v>
      </c>
    </row>
    <row r="5" spans="9:9" ht="14.25" customHeight="1">
      <c r="I5" s="9"/>
    </row>
    <row r="6" spans="1:17" ht="14.25" customHeight="1">
      <c r="A6" s="11" t="s">
        <v>18</v>
      </c>
      <c r="B6" s="12"/>
      <c r="C6" s="12"/>
      <c r="D6" s="12"/>
      <c r="E6" s="12"/>
      <c r="F6" s="12"/>
      <c r="G6" s="12"/>
      <c r="H6" s="13"/>
      <c r="I6" s="8" t="s">
        <v>25</v>
      </c>
      <c r="J6" s="20" t="s">
        <v>20</v>
      </c>
      <c r="K6" s="21"/>
      <c r="L6" s="21"/>
      <c r="M6" s="21"/>
      <c r="N6" s="21"/>
      <c r="O6" s="21"/>
      <c r="P6" s="21"/>
      <c r="Q6" s="22"/>
    </row>
    <row r="7" spans="1:17" ht="14.25" customHeight="1">
      <c r="A7" s="14"/>
      <c r="B7" s="15"/>
      <c r="C7" s="15"/>
      <c r="D7" s="15"/>
      <c r="E7" s="15"/>
      <c r="F7" s="15"/>
      <c r="G7" s="15"/>
      <c r="H7" s="16"/>
      <c r="I7" s="9"/>
      <c r="J7" s="23"/>
      <c r="K7" s="24"/>
      <c r="L7" s="24"/>
      <c r="M7" s="24"/>
      <c r="N7" s="24"/>
      <c r="O7" s="24"/>
      <c r="P7" s="24"/>
      <c r="Q7" s="25"/>
    </row>
    <row r="8" spans="2:15" ht="14.25" customHeight="1">
      <c r="B8" t="s">
        <v>26</v>
      </c>
      <c r="C8" t="s">
        <v>23</v>
      </c>
      <c r="D8" t="n">
        <v>100</v>
      </c>
      <c r="F8" t="s">
        <v>27</v>
      </c>
      <c r="I8" s="9"/>
      <c r="K8" t="s">
        <v>28</v>
      </c>
      <c r="L8" t="s">
        <v>23</v>
      </c>
      <c r="M8">
        <f>M4+100</f>
        <v>4100</v>
      </c>
      <c r="N8" t="n">
        <v>0</v>
      </c>
      <c r="O8" t="s">
        <v>29</v>
      </c>
    </row>
    <row r="9" spans="2:15" ht="14.25" customHeight="1">
      <c r="B9" t="s">
        <v>30</v>
      </c>
      <c r="C9" t="s">
        <v>31</v>
      </c>
      <c r="D9">
        <f>D8+2</f>
        <v>102</v>
      </c>
      <c r="F9" t="s">
        <v>32</v>
      </c>
      <c r="I9" s="9"/>
      <c r="K9" t="s">
        <v>33</v>
      </c>
      <c r="L9" t="s">
        <v>34</v>
      </c>
      <c r="M9">
        <f>M8+2</f>
        <v>4102</v>
      </c>
      <c r="O9" t="s">
        <v>35</v>
      </c>
    </row>
    <row r="10" spans="2:13" ht="14.25" customHeight="1">
      <c r="B10" t="s">
        <v>36</v>
      </c>
      <c r="D10">
        <f>D9+26</f>
        <v>128</v>
      </c>
      <c r="I10" s="10"/>
      <c r="K10" t="s">
        <v>37</v>
      </c>
      <c r="M10">
        <f>M9+2</f>
        <v>4104</v>
      </c>
    </row>
    <row r="11" spans="1:17" ht="14.25" customHeight="1">
      <c r="A11" s="11" t="s">
        <v>18</v>
      </c>
      <c r="B11" s="12"/>
      <c r="C11" s="12"/>
      <c r="D11" s="12"/>
      <c r="E11" s="12"/>
      <c r="F11" s="12"/>
      <c r="G11" s="12"/>
      <c r="H11" s="13"/>
      <c r="I11" s="8" t="s">
        <v>38</v>
      </c>
      <c r="J11" s="20" t="s">
        <v>20</v>
      </c>
      <c r="K11" s="21"/>
      <c r="L11" s="21"/>
      <c r="M11" s="21"/>
      <c r="N11" s="21"/>
      <c r="O11" s="21"/>
      <c r="P11" s="21"/>
      <c r="Q11" s="22"/>
    </row>
    <row r="12" spans="1:17" ht="14.25" customHeight="1">
      <c r="A12" s="14"/>
      <c r="B12" s="15"/>
      <c r="C12" s="15"/>
      <c r="D12" s="15"/>
      <c r="E12" s="15"/>
      <c r="F12" s="15"/>
      <c r="G12" s="15"/>
      <c r="H12" s="16"/>
      <c r="I12" s="9"/>
      <c r="J12" s="23"/>
      <c r="K12" s="24"/>
      <c r="L12" s="24"/>
      <c r="M12" s="24"/>
      <c r="N12" s="24"/>
      <c r="O12" s="24"/>
      <c r="P12" s="24"/>
      <c r="Q12" s="25"/>
    </row>
    <row r="13" spans="2:15" ht="14.25" customHeight="1">
      <c r="B13" t="s">
        <v>26</v>
      </c>
      <c r="C13" t="s">
        <v>23</v>
      </c>
      <c r="D13">
        <f>D10+72</f>
        <v>200</v>
      </c>
      <c r="F13" t="s">
        <v>39</v>
      </c>
      <c r="I13" s="9"/>
      <c r="K13" t="s">
        <v>28</v>
      </c>
      <c r="L13" t="s">
        <v>23</v>
      </c>
      <c r="M13">
        <f>M10+96</f>
        <v>4200</v>
      </c>
      <c r="O13" t="s">
        <v>40</v>
      </c>
    </row>
    <row r="14" spans="2:15" ht="14.25" customHeight="1">
      <c r="B14" t="s">
        <v>30</v>
      </c>
      <c r="C14" t="s">
        <v>31</v>
      </c>
      <c r="D14">
        <f>D13+2</f>
        <v>202</v>
      </c>
      <c r="F14" t="s">
        <v>32</v>
      </c>
      <c r="I14" s="9"/>
      <c r="K14" t="s">
        <v>33</v>
      </c>
      <c r="L14" t="s">
        <v>34</v>
      </c>
      <c r="M14">
        <f>M13+2</f>
        <v>4202</v>
      </c>
      <c r="O14" t="s">
        <v>41</v>
      </c>
    </row>
    <row r="15" spans="2:13" ht="14.25" customHeight="1">
      <c r="B15" t="s">
        <v>42</v>
      </c>
      <c r="C15" t="s">
        <v>31</v>
      </c>
      <c r="D15">
        <f>D14+26</f>
        <v>228</v>
      </c>
      <c r="F15" t="s">
        <v>43</v>
      </c>
      <c r="I15" s="9"/>
      <c r="K15" t="s">
        <v>37</v>
      </c>
      <c r="M15">
        <f>M14+2</f>
        <v>4204</v>
      </c>
    </row>
    <row r="16" spans="2:9" ht="14.25" customHeight="1">
      <c r="B16" t="s">
        <v>44</v>
      </c>
      <c r="D16">
        <f>D15+26</f>
        <v>254</v>
      </c>
      <c r="I16" s="10"/>
    </row>
    <row r="17" spans="1:17" ht="14.25" customHeight="1">
      <c r="A17" s="11" t="s">
        <v>18</v>
      </c>
      <c r="B17" s="12"/>
      <c r="C17" s="12"/>
      <c r="D17" s="12"/>
      <c r="E17" s="12"/>
      <c r="F17" s="12"/>
      <c r="G17" s="12"/>
      <c r="H17" s="13"/>
      <c r="I17" s="8" t="s">
        <v>45</v>
      </c>
      <c r="J17" s="20" t="s">
        <v>20</v>
      </c>
      <c r="K17" s="21"/>
      <c r="L17" s="21"/>
      <c r="M17" s="21"/>
      <c r="N17" s="21"/>
      <c r="O17" s="21"/>
      <c r="P17" s="21"/>
      <c r="Q17" s="22"/>
    </row>
    <row r="18" spans="1:17" ht="14.25" customHeight="1">
      <c r="A18" s="14"/>
      <c r="B18" s="15"/>
      <c r="C18" s="15"/>
      <c r="D18" s="15"/>
      <c r="E18" s="15"/>
      <c r="F18" s="15"/>
      <c r="G18" s="15"/>
      <c r="H18" s="16"/>
      <c r="I18" s="9"/>
      <c r="J18" s="23"/>
      <c r="K18" s="24"/>
      <c r="L18" s="24"/>
      <c r="M18" s="24"/>
      <c r="N18" s="24"/>
      <c r="O18" s="24"/>
      <c r="P18" s="24"/>
      <c r="Q18" s="25"/>
    </row>
    <row r="19" spans="2:15" ht="14.25" customHeight="1">
      <c r="B19" t="s">
        <v>26</v>
      </c>
      <c r="C19" t="s">
        <v>23</v>
      </c>
      <c r="D19">
        <f>D16+46</f>
        <v>300</v>
      </c>
      <c r="F19" t="s">
        <v>39</v>
      </c>
      <c r="I19" s="9"/>
      <c r="K19" t="s">
        <v>28</v>
      </c>
      <c r="L19" t="s">
        <v>23</v>
      </c>
      <c r="M19">
        <f>M15+96</f>
        <v>4300</v>
      </c>
      <c r="O19" t="s">
        <v>40</v>
      </c>
    </row>
    <row r="20" spans="2:15" ht="14.25" customHeight="1">
      <c r="B20" t="s">
        <v>30</v>
      </c>
      <c r="C20" t="s">
        <v>31</v>
      </c>
      <c r="D20">
        <f>D19+2</f>
        <v>302</v>
      </c>
      <c r="F20" t="s">
        <v>46</v>
      </c>
      <c r="I20" s="9"/>
      <c r="K20" t="s">
        <v>33</v>
      </c>
      <c r="L20" t="s">
        <v>34</v>
      </c>
      <c r="M20">
        <f>M19+2</f>
        <v>4302</v>
      </c>
      <c r="O20" t="s">
        <v>41</v>
      </c>
    </row>
    <row r="21" spans="2:13" ht="14.25" customHeight="1">
      <c r="B21" t="s">
        <v>47</v>
      </c>
      <c r="C21" t="s">
        <v>31</v>
      </c>
      <c r="D21">
        <f>D20+26</f>
        <v>328</v>
      </c>
      <c r="F21" t="s">
        <v>48</v>
      </c>
      <c r="I21" s="9"/>
      <c r="K21" t="s">
        <v>37</v>
      </c>
      <c r="M21">
        <f>M20+2</f>
        <v>4304</v>
      </c>
    </row>
    <row r="22" spans="2:9" ht="14.25" customHeight="1">
      <c r="B22" t="s">
        <v>44</v>
      </c>
      <c r="D22">
        <f>D21+26</f>
        <v>354</v>
      </c>
      <c r="I22" s="10"/>
    </row>
    <row r="23" spans="1:17" ht="14.25" customHeight="1">
      <c r="A23" s="11" t="s">
        <v>18</v>
      </c>
      <c r="B23" s="12"/>
      <c r="C23" s="12"/>
      <c r="D23" s="12"/>
      <c r="E23" s="12"/>
      <c r="F23" s="12"/>
      <c r="G23" s="12"/>
      <c r="H23" s="13"/>
      <c r="I23" s="8" t="s">
        <v>49</v>
      </c>
      <c r="J23" s="20" t="s">
        <v>20</v>
      </c>
      <c r="K23" s="21"/>
      <c r="L23" s="21"/>
      <c r="M23" s="21"/>
      <c r="N23" s="21"/>
      <c r="O23" s="21"/>
      <c r="P23" s="21"/>
      <c r="Q23" s="22"/>
    </row>
    <row r="24" spans="1:17" ht="14.25" customHeight="1">
      <c r="A24" s="14"/>
      <c r="B24" s="15"/>
      <c r="C24" s="15"/>
      <c r="D24" s="15"/>
      <c r="E24" s="15"/>
      <c r="F24" s="15"/>
      <c r="G24" s="15"/>
      <c r="H24" s="16"/>
      <c r="I24" s="9"/>
      <c r="J24" s="23"/>
      <c r="K24" s="24"/>
      <c r="L24" s="24"/>
      <c r="M24" s="24"/>
      <c r="N24" s="24"/>
      <c r="O24" s="24"/>
      <c r="P24" s="24"/>
      <c r="Q24" s="25"/>
    </row>
    <row r="25" spans="2:15" ht="14.25" customHeight="1">
      <c r="B25" t="s">
        <v>26</v>
      </c>
      <c r="C25" t="s">
        <v>23</v>
      </c>
      <c r="D25">
        <f>D22+46</f>
        <v>400</v>
      </c>
      <c r="F25" t="s">
        <v>39</v>
      </c>
      <c r="I25" s="9"/>
      <c r="K25" t="s">
        <v>28</v>
      </c>
      <c r="L25" t="s">
        <v>23</v>
      </c>
      <c r="M25">
        <f>M21+96</f>
        <v>4400</v>
      </c>
      <c r="O25" t="s">
        <v>40</v>
      </c>
    </row>
    <row r="26" spans="2:15" ht="14.25" customHeight="1">
      <c r="B26" t="s">
        <v>50</v>
      </c>
      <c r="D26">
        <f>D25+2</f>
        <v>402</v>
      </c>
      <c r="I26" s="9"/>
      <c r="K26" t="s">
        <v>33</v>
      </c>
      <c r="L26" t="s">
        <v>34</v>
      </c>
      <c r="M26">
        <f>M25+2</f>
        <v>4402</v>
      </c>
      <c r="O26" t="s">
        <v>41</v>
      </c>
    </row>
    <row r="27" spans="9:15" ht="14.25" customHeight="1">
      <c r="I27" s="9"/>
      <c r="K27" t="s">
        <v>42</v>
      </c>
      <c r="L27" t="s">
        <v>31</v>
      </c>
      <c r="M27">
        <f>M26+2</f>
        <v>4404</v>
      </c>
      <c r="O27" t="s">
        <v>51</v>
      </c>
    </row>
    <row r="28" spans="9:13" ht="14.25" customHeight="1">
      <c r="I28" s="10"/>
      <c r="K28" t="s">
        <v>52</v>
      </c>
      <c r="M28">
        <f>M27+26</f>
        <v>4430</v>
      </c>
    </row>
    <row r="29" spans="1:17" ht="14.25" customHeight="1">
      <c r="A29" s="11" t="s">
        <v>18</v>
      </c>
      <c r="B29" s="12"/>
      <c r="C29" s="12"/>
      <c r="D29" s="12"/>
      <c r="E29" s="12"/>
      <c r="F29" s="12"/>
      <c r="G29" s="12"/>
      <c r="H29" s="13"/>
      <c r="I29" s="17" t="s">
        <v>53</v>
      </c>
      <c r="J29" s="20" t="s">
        <v>20</v>
      </c>
      <c r="K29" s="21"/>
      <c r="L29" s="21"/>
      <c r="M29" s="21"/>
      <c r="N29" s="21"/>
      <c r="O29" s="21"/>
      <c r="P29" s="21"/>
      <c r="Q29" s="22"/>
    </row>
    <row r="30" spans="1:17" ht="14.25" customHeight="1">
      <c r="A30" s="14"/>
      <c r="B30" s="15"/>
      <c r="C30" s="15"/>
      <c r="D30" s="15"/>
      <c r="E30" s="15"/>
      <c r="F30" s="15"/>
      <c r="G30" s="15"/>
      <c r="H30" s="16"/>
      <c r="I30" s="18"/>
      <c r="J30" s="23"/>
      <c r="K30" s="24"/>
      <c r="L30" s="24"/>
      <c r="M30" s="24"/>
      <c r="N30" s="24"/>
      <c r="O30" s="24"/>
      <c r="P30" s="24"/>
      <c r="Q30" s="25"/>
    </row>
    <row r="31" spans="2:15" ht="14.25" customHeight="1">
      <c r="B31" t="s">
        <v>26</v>
      </c>
      <c r="C31" t="s">
        <v>23</v>
      </c>
      <c r="D31">
        <f>D26+98</f>
        <v>500</v>
      </c>
      <c r="F31" t="s">
        <v>39</v>
      </c>
      <c r="I31" s="18"/>
      <c r="K31" t="s">
        <v>28</v>
      </c>
      <c r="L31" t="s">
        <v>23</v>
      </c>
      <c r="M31">
        <f>M28+70</f>
        <v>4500</v>
      </c>
      <c r="O31" t="s">
        <v>40</v>
      </c>
    </row>
    <row r="32" spans="2:15" ht="14.25" customHeight="1">
      <c r="B32" t="s">
        <v>54</v>
      </c>
      <c r="C32" t="s">
        <v>55</v>
      </c>
      <c r="D32">
        <f>D31+2</f>
        <v>502</v>
      </c>
      <c r="F32" t="s">
        <v>56</v>
      </c>
      <c r="I32" s="18"/>
      <c r="K32" t="s">
        <v>33</v>
      </c>
      <c r="L32" t="s">
        <v>34</v>
      </c>
      <c r="M32">
        <f>M31+2</f>
        <v>4502</v>
      </c>
      <c r="O32" t="s">
        <v>41</v>
      </c>
    </row>
    <row r="33" spans="2:13" ht="14.25" customHeight="1">
      <c r="B33" t="s">
        <v>57</v>
      </c>
      <c r="C33" t="s">
        <v>55</v>
      </c>
      <c r="D33">
        <f>D32+4</f>
        <v>506</v>
      </c>
      <c r="F33" t="s">
        <v>58</v>
      </c>
      <c r="I33" s="18"/>
      <c r="K33" t="s">
        <v>37</v>
      </c>
      <c r="M33">
        <f>M32+2</f>
        <v>4504</v>
      </c>
    </row>
    <row r="34" spans="2:9" ht="14.25" customHeight="1">
      <c r="B34" t="s">
        <v>59</v>
      </c>
      <c r="C34" t="s">
        <v>55</v>
      </c>
      <c r="D34">
        <f>D33+4</f>
        <v>510</v>
      </c>
      <c r="F34" t="s">
        <v>60</v>
      </c>
      <c r="I34" s="18"/>
    </row>
    <row r="35" spans="2:9" ht="14.25" customHeight="1">
      <c r="B35" t="s">
        <v>61</v>
      </c>
      <c r="C35" t="s">
        <v>55</v>
      </c>
      <c r="D35">
        <f>D34+4</f>
        <v>514</v>
      </c>
      <c r="F35" t="s">
        <v>62</v>
      </c>
      <c r="I35" s="18"/>
    </row>
    <row r="36" spans="2:9" ht="14.25" customHeight="1">
      <c r="B36" t="s">
        <v>63</v>
      </c>
      <c r="C36" t="s">
        <v>55</v>
      </c>
      <c r="D36">
        <f>D35+4</f>
        <v>518</v>
      </c>
      <c r="F36" t="s">
        <v>64</v>
      </c>
      <c r="I36" s="18"/>
    </row>
    <row r="37" spans="2:9" ht="14.25" customHeight="1">
      <c r="B37" t="s">
        <v>65</v>
      </c>
      <c r="C37" t="s">
        <v>55</v>
      </c>
      <c r="D37">
        <f>D36+4</f>
        <v>522</v>
      </c>
      <c r="F37" t="s">
        <v>66</v>
      </c>
      <c r="I37" s="18"/>
    </row>
    <row r="38" spans="2:9" ht="14.25" customHeight="1">
      <c r="B38" t="s">
        <v>67</v>
      </c>
      <c r="C38" t="s">
        <v>55</v>
      </c>
      <c r="D38">
        <f>D37+4</f>
        <v>526</v>
      </c>
      <c r="F38" t="s">
        <v>68</v>
      </c>
      <c r="I38" s="18"/>
    </row>
    <row r="39" spans="2:9" ht="14.25" customHeight="1">
      <c r="B39" t="s">
        <v>69</v>
      </c>
      <c r="C39" t="s">
        <v>55</v>
      </c>
      <c r="D39">
        <f>D38+4</f>
        <v>530</v>
      </c>
      <c r="F39" t="s">
        <v>70</v>
      </c>
      <c r="I39" s="18"/>
    </row>
    <row r="40" spans="2:9" ht="14.25" customHeight="1">
      <c r="B40" t="s">
        <v>71</v>
      </c>
      <c r="C40" t="s">
        <v>55</v>
      </c>
      <c r="D40">
        <f>D39+4</f>
        <v>534</v>
      </c>
      <c r="F40" t="s">
        <v>72</v>
      </c>
      <c r="I40" s="18"/>
    </row>
    <row r="41" spans="2:9" ht="14.25" customHeight="1">
      <c r="B41" t="s">
        <v>73</v>
      </c>
      <c r="C41" t="s">
        <v>55</v>
      </c>
      <c r="D41">
        <f>D40+4</f>
        <v>538</v>
      </c>
      <c r="F41" t="s">
        <v>74</v>
      </c>
      <c r="I41" s="18"/>
    </row>
    <row r="42" spans="2:9" ht="14.25" customHeight="1">
      <c r="B42" t="s">
        <v>75</v>
      </c>
      <c r="C42" t="s">
        <v>55</v>
      </c>
      <c r="D42">
        <f>D41+4</f>
        <v>542</v>
      </c>
      <c r="F42" t="s">
        <v>76</v>
      </c>
      <c r="I42" s="18"/>
    </row>
    <row r="43" spans="2:9" ht="14.25" customHeight="1">
      <c r="B43" t="s">
        <v>77</v>
      </c>
      <c r="C43" t="s">
        <v>55</v>
      </c>
      <c r="D43">
        <f>D42+4</f>
        <v>546</v>
      </c>
      <c r="F43" t="s">
        <v>78</v>
      </c>
      <c r="I43" s="18"/>
    </row>
    <row r="44" spans="2:9" ht="14.25" customHeight="1">
      <c r="B44" t="s">
        <v>79</v>
      </c>
      <c r="C44" t="s">
        <v>55</v>
      </c>
      <c r="D44">
        <f>D43+4</f>
        <v>550</v>
      </c>
      <c r="F44" t="s">
        <v>80</v>
      </c>
      <c r="I44" s="18"/>
    </row>
    <row r="45" spans="2:9" ht="14.25" customHeight="1">
      <c r="B45" t="s">
        <v>81</v>
      </c>
      <c r="C45" t="s">
        <v>55</v>
      </c>
      <c r="D45">
        <f>D44+4</f>
        <v>554</v>
      </c>
      <c r="F45" t="s">
        <v>82</v>
      </c>
      <c r="I45" s="18"/>
    </row>
    <row r="46" spans="2:9" ht="14.25" customHeight="1">
      <c r="B46" t="s">
        <v>83</v>
      </c>
      <c r="C46" t="s">
        <v>55</v>
      </c>
      <c r="D46">
        <f>D45+4</f>
        <v>558</v>
      </c>
      <c r="F46" t="s">
        <v>84</v>
      </c>
      <c r="I46" s="18"/>
    </row>
    <row r="47" spans="2:9" ht="14.25" customHeight="1">
      <c r="B47" t="s">
        <v>85</v>
      </c>
      <c r="C47" t="s">
        <v>55</v>
      </c>
      <c r="D47">
        <f>D46+4</f>
        <v>562</v>
      </c>
      <c r="F47" t="s">
        <v>86</v>
      </c>
      <c r="I47" s="18"/>
    </row>
    <row r="48" spans="2:9" ht="14.25" customHeight="1">
      <c r="B48" t="s">
        <v>87</v>
      </c>
      <c r="C48" t="s">
        <v>55</v>
      </c>
      <c r="D48">
        <f>D47+4</f>
        <v>566</v>
      </c>
      <c r="F48" t="s">
        <v>88</v>
      </c>
      <c r="I48" s="18"/>
    </row>
    <row r="49" spans="2:9" ht="14.25" customHeight="1">
      <c r="B49" t="s">
        <v>89</v>
      </c>
      <c r="C49" t="s">
        <v>55</v>
      </c>
      <c r="D49">
        <f>D48+4</f>
        <v>570</v>
      </c>
      <c r="F49" t="s">
        <v>90</v>
      </c>
      <c r="I49" s="18"/>
    </row>
    <row r="50" spans="2:9" ht="14.25" customHeight="1">
      <c r="B50" t="s">
        <v>91</v>
      </c>
      <c r="C50" t="s">
        <v>55</v>
      </c>
      <c r="D50">
        <f>D49+4</f>
        <v>574</v>
      </c>
      <c r="F50" t="s">
        <v>92</v>
      </c>
      <c r="I50" s="18"/>
    </row>
    <row r="51" spans="2:9" ht="14.25" customHeight="1">
      <c r="B51" t="s">
        <v>93</v>
      </c>
      <c r="C51" t="s">
        <v>55</v>
      </c>
      <c r="D51">
        <f>D50+4</f>
        <v>578</v>
      </c>
      <c r="F51" t="s">
        <v>94</v>
      </c>
      <c r="I51" s="18"/>
    </row>
    <row r="52" spans="2:9" ht="25.50" customHeight="1">
      <c r="B52" t="s">
        <v>95</v>
      </c>
      <c r="D52">
        <f>D51+4</f>
        <v>582</v>
      </c>
      <c r="I52" s="19"/>
    </row>
    <row r="53" spans="1:17" ht="14.25" customHeight="1">
      <c r="A53" s="11" t="s">
        <v>18</v>
      </c>
      <c r="B53" s="12"/>
      <c r="C53" s="12"/>
      <c r="D53" s="12"/>
      <c r="E53" s="12"/>
      <c r="F53" s="12"/>
      <c r="G53" s="12"/>
      <c r="H53" s="13"/>
      <c r="I53" s="8" t="s">
        <v>96</v>
      </c>
      <c r="J53" s="20" t="s">
        <v>20</v>
      </c>
      <c r="K53" s="21"/>
      <c r="L53" s="21"/>
      <c r="M53" s="21"/>
      <c r="N53" s="21"/>
      <c r="O53" s="21"/>
      <c r="P53" s="21"/>
      <c r="Q53" s="22"/>
    </row>
    <row r="54" spans="1:17" ht="14.25" customHeight="1">
      <c r="A54" s="14"/>
      <c r="B54" s="15"/>
      <c r="C54" s="15"/>
      <c r="D54" s="15"/>
      <c r="E54" s="15"/>
      <c r="F54" s="15"/>
      <c r="G54" s="15"/>
      <c r="H54" s="16"/>
      <c r="I54" s="9"/>
      <c r="J54" s="23"/>
      <c r="K54" s="24"/>
      <c r="L54" s="24"/>
      <c r="M54" s="24"/>
      <c r="N54" s="24"/>
      <c r="O54" s="24"/>
      <c r="P54" s="24"/>
      <c r="Q54" s="25"/>
    </row>
    <row r="55" spans="2:15" ht="14.25" customHeight="1">
      <c r="B55" t="s">
        <v>26</v>
      </c>
      <c r="C55" t="s">
        <v>23</v>
      </c>
      <c r="D55">
        <f>D52+58</f>
        <v>640</v>
      </c>
      <c r="F55" t="s">
        <v>39</v>
      </c>
      <c r="I55" s="9"/>
      <c r="K55" t="s">
        <v>28</v>
      </c>
      <c r="L55" t="s">
        <v>23</v>
      </c>
      <c r="M55">
        <f>M33+96</f>
        <v>4600</v>
      </c>
      <c r="O55" t="s">
        <v>40</v>
      </c>
    </row>
    <row r="56" spans="2:15" ht="14.25" customHeight="1">
      <c r="B56" t="s">
        <v>30</v>
      </c>
      <c r="C56" t="s">
        <v>97</v>
      </c>
      <c r="D56">
        <f>D55+2</f>
        <v>642</v>
      </c>
      <c r="F56" t="s">
        <v>32</v>
      </c>
      <c r="I56" s="9"/>
      <c r="K56" t="s">
        <v>33</v>
      </c>
      <c r="L56" t="s">
        <v>34</v>
      </c>
      <c r="M56">
        <f>M55+2</f>
        <v>4602</v>
      </c>
      <c r="O56" t="s">
        <v>41</v>
      </c>
    </row>
    <row r="57" spans="2:13" ht="14.25" customHeight="1">
      <c r="B57" t="s">
        <v>98</v>
      </c>
      <c r="C57" t="s">
        <v>99</v>
      </c>
      <c r="D57">
        <f>D56+26</f>
        <v>668</v>
      </c>
      <c r="F57" t="s">
        <v>100</v>
      </c>
      <c r="I57" s="9"/>
      <c r="K57" t="s">
        <v>101</v>
      </c>
      <c r="M57">
        <f>M56+2</f>
        <v>4604</v>
      </c>
    </row>
    <row r="58" spans="2:9" ht="14.25" customHeight="1">
      <c r="B58" t="s">
        <v>102</v>
      </c>
      <c r="C58" t="s">
        <v>129</v>
      </c>
      <c r="D58">
        <f>D57+12</f>
        <v>680</v>
      </c>
      <c r="F58" t="s">
        <v>130</v>
      </c>
      <c r="I58" s="9"/>
    </row>
    <row r="59" spans="2:9">
      <c r="B59" t="s">
        <v>104</v>
      </c>
      <c r="D59">
        <f>D58+16*20</f>
        <v>1000</v>
      </c>
      <c r="I59" s="10"/>
    </row>
  </sheetData>
  <mergeCells count="21">
    <mergeCell ref="A2:H3"/>
    <mergeCell ref="J2:Q3"/>
    <mergeCell ref="I2:I5"/>
    <mergeCell ref="A6:H7"/>
    <mergeCell ref="J6:Q7"/>
    <mergeCell ref="I6:I10"/>
    <mergeCell ref="A11:H12"/>
    <mergeCell ref="J11:Q12"/>
    <mergeCell ref="I11:I16"/>
    <mergeCell ref="A17:H18"/>
    <mergeCell ref="J17:Q18"/>
    <mergeCell ref="I17:I22"/>
    <mergeCell ref="A23:H24"/>
    <mergeCell ref="J23:Q24"/>
    <mergeCell ref="I23:I28"/>
    <mergeCell ref="A29:H30"/>
    <mergeCell ref="J29:Q30"/>
    <mergeCell ref="I29:I52"/>
    <mergeCell ref="A53:H54"/>
    <mergeCell ref="J53:Q54"/>
    <mergeCell ref="I53:I59"/>
  </mergeCells>
  <printOptions>
    <extLst>
      <ext uri="smNativeData">
        <pm:pageFlags xmlns:pm="smNativeData" id="177373642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73736424" l="56" r="56" t="56" b="56" borderId="0" fillId="0" vertical="0"/>
        <pm:footer xmlns:pm="smNativeData" id="1773736424" l="56" r="56" t="56" b="56" borderId="0" fillId="0" vertical="2"/>
        <pm:paperBin xmlns:pm="smNativeData" id="1773736424" Id="0" type="0" value="0"/>
        <pm:paperBin xmlns:pm="smNativeData" id="1773736424" Id="1" type="0" value="0"/>
      </ext>
    </extLst>
  </headerFooter>
  <extLst>
    <ext uri="smNativeData">
      <pm:sheetPrefs xmlns:pm="smNativeData" day="177373642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Q59"/>
  <sheetViews>
    <sheetView view="normal" topLeftCell="A31" workbookViewId="0">
      <selection activeCell="I6" sqref="I6:I10"/>
    </sheetView>
  </sheetViews>
  <sheetFormatPr defaultRowHeight="13.45"/>
  <cols>
    <col min="1" max="1" width="6.500000" customWidth="1"/>
    <col min="2" max="2" width="14.620690" customWidth="1"/>
    <col min="3" max="3" width="26.517241" customWidth="1"/>
    <col min="4" max="4" width="11.370690" customWidth="1"/>
    <col min="5" max="5" width="4.120690" customWidth="1"/>
    <col min="6" max="6" width="42.120690" customWidth="1"/>
    <col min="7" max="8" width="6.500000" customWidth="1"/>
    <col min="9" max="9" width="34.750000" customWidth="1"/>
    <col min="10" max="10" width="6.500000" customWidth="1"/>
    <col min="11" max="11" width="13.120690" customWidth="1"/>
    <col min="12" max="12" width="19.000000" customWidth="1"/>
    <col min="13" max="13" width="11.370690" customWidth="1"/>
    <col min="14" max="14" width="4.120690" customWidth="1"/>
    <col min="15" max="15" width="37.120690" customWidth="1"/>
    <col min="16" max="17" width="6.500000" customWidth="1"/>
  </cols>
  <sheetData>
    <row r="1" spans="1:17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4" t="s">
        <v>17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14.25" customHeight="1">
      <c r="A2" s="11" t="s">
        <v>18</v>
      </c>
      <c r="B2" s="12"/>
      <c r="C2" s="12"/>
      <c r="D2" s="12"/>
      <c r="E2" s="12"/>
      <c r="F2" s="12"/>
      <c r="G2" s="12"/>
      <c r="H2" s="13"/>
      <c r="I2" s="8" t="s">
        <v>19</v>
      </c>
      <c r="J2" s="20" t="s">
        <v>20</v>
      </c>
      <c r="K2" s="21"/>
      <c r="L2" s="21"/>
      <c r="M2" s="21"/>
      <c r="N2" s="21"/>
      <c r="O2" s="21"/>
      <c r="P2" s="21"/>
      <c r="Q2" s="22"/>
    </row>
    <row r="3" spans="1:17" ht="14.25" customHeight="1">
      <c r="A3" s="14"/>
      <c r="B3" s="15"/>
      <c r="C3" s="15"/>
      <c r="D3" s="15"/>
      <c r="E3" s="15"/>
      <c r="F3" s="15"/>
      <c r="G3" s="15"/>
      <c r="H3" s="16"/>
      <c r="I3" s="9"/>
      <c r="J3" s="23"/>
      <c r="K3" s="24"/>
      <c r="L3" s="24"/>
      <c r="M3" s="24"/>
      <c r="N3" s="24"/>
      <c r="O3" s="24"/>
      <c r="P3" s="24"/>
      <c r="Q3" s="25"/>
    </row>
    <row r="4" spans="2:17" ht="14.25" customHeight="1">
      <c r="B4" t="s">
        <v>21</v>
      </c>
      <c r="D4" t="n">
        <v>0</v>
      </c>
      <c r="H4" t="n">
        <v>200</v>
      </c>
      <c r="I4" s="9"/>
      <c r="K4" t="s">
        <v>22</v>
      </c>
      <c r="L4" t="s">
        <v>23</v>
      </c>
      <c r="M4" t="n">
        <v>4000</v>
      </c>
      <c r="O4" t="s">
        <v>24</v>
      </c>
      <c r="Q4" t="n">
        <v>200</v>
      </c>
    </row>
    <row r="5" spans="9:9" ht="14.25" customHeight="1">
      <c r="I5" s="9"/>
    </row>
    <row r="6" spans="1:17" ht="14.25" customHeight="1">
      <c r="A6" s="11" t="s">
        <v>18</v>
      </c>
      <c r="B6" s="12"/>
      <c r="C6" s="12"/>
      <c r="D6" s="12"/>
      <c r="E6" s="12"/>
      <c r="F6" s="12"/>
      <c r="G6" s="12"/>
      <c r="H6" s="13"/>
      <c r="I6" s="8" t="s">
        <v>25</v>
      </c>
      <c r="J6" s="20" t="s">
        <v>20</v>
      </c>
      <c r="K6" s="21"/>
      <c r="L6" s="21"/>
      <c r="M6" s="21"/>
      <c r="N6" s="21"/>
      <c r="O6" s="21"/>
      <c r="P6" s="21"/>
      <c r="Q6" s="22"/>
    </row>
    <row r="7" spans="1:17" ht="14.25" customHeight="1">
      <c r="A7" s="14"/>
      <c r="B7" s="15"/>
      <c r="C7" s="15"/>
      <c r="D7" s="15"/>
      <c r="E7" s="15"/>
      <c r="F7" s="15"/>
      <c r="G7" s="15"/>
      <c r="H7" s="16"/>
      <c r="I7" s="9"/>
      <c r="J7" s="23"/>
      <c r="K7" s="24"/>
      <c r="L7" s="24"/>
      <c r="M7" s="24"/>
      <c r="N7" s="24"/>
      <c r="O7" s="24"/>
      <c r="P7" s="24"/>
      <c r="Q7" s="25"/>
    </row>
    <row r="8" spans="2:15" ht="14.25" customHeight="1">
      <c r="B8" t="s">
        <v>26</v>
      </c>
      <c r="C8" t="s">
        <v>23</v>
      </c>
      <c r="D8" t="n">
        <v>100</v>
      </c>
      <c r="F8" t="s">
        <v>27</v>
      </c>
      <c r="I8" s="9"/>
      <c r="K8" t="s">
        <v>28</v>
      </c>
      <c r="L8" t="s">
        <v>23</v>
      </c>
      <c r="M8">
        <f>M4+100</f>
        <v>4100</v>
      </c>
      <c r="N8" t="n">
        <v>0</v>
      </c>
      <c r="O8" t="s">
        <v>29</v>
      </c>
    </row>
    <row r="9" spans="2:15" ht="14.25" customHeight="1">
      <c r="B9" t="s">
        <v>30</v>
      </c>
      <c r="C9" t="s">
        <v>31</v>
      </c>
      <c r="D9">
        <f>D8+2</f>
        <v>102</v>
      </c>
      <c r="F9" t="s">
        <v>32</v>
      </c>
      <c r="I9" s="9"/>
      <c r="K9" t="s">
        <v>33</v>
      </c>
      <c r="L9" t="s">
        <v>34</v>
      </c>
      <c r="M9">
        <f>M8+2</f>
        <v>4102</v>
      </c>
      <c r="O9" t="s">
        <v>35</v>
      </c>
    </row>
    <row r="10" spans="2:13" ht="14.25" customHeight="1">
      <c r="B10" t="s">
        <v>36</v>
      </c>
      <c r="D10">
        <f>D9+26</f>
        <v>128</v>
      </c>
      <c r="I10" s="10"/>
      <c r="K10" t="s">
        <v>37</v>
      </c>
      <c r="M10">
        <f>M9+2</f>
        <v>4104</v>
      </c>
    </row>
    <row r="11" spans="1:17" ht="14.25" customHeight="1">
      <c r="A11" s="11" t="s">
        <v>18</v>
      </c>
      <c r="B11" s="12"/>
      <c r="C11" s="12"/>
      <c r="D11" s="12"/>
      <c r="E11" s="12"/>
      <c r="F11" s="12"/>
      <c r="G11" s="12"/>
      <c r="H11" s="13"/>
      <c r="I11" s="8" t="s">
        <v>38</v>
      </c>
      <c r="J11" s="20" t="s">
        <v>20</v>
      </c>
      <c r="K11" s="21"/>
      <c r="L11" s="21"/>
      <c r="M11" s="21"/>
      <c r="N11" s="21"/>
      <c r="O11" s="21"/>
      <c r="P11" s="21"/>
      <c r="Q11" s="22"/>
    </row>
    <row r="12" spans="1:17" ht="14.25" customHeight="1">
      <c r="A12" s="14"/>
      <c r="B12" s="15"/>
      <c r="C12" s="15"/>
      <c r="D12" s="15"/>
      <c r="E12" s="15"/>
      <c r="F12" s="15"/>
      <c r="G12" s="15"/>
      <c r="H12" s="16"/>
      <c r="I12" s="9"/>
      <c r="J12" s="23"/>
      <c r="K12" s="24"/>
      <c r="L12" s="24"/>
      <c r="M12" s="24"/>
      <c r="N12" s="24"/>
      <c r="O12" s="24"/>
      <c r="P12" s="24"/>
      <c r="Q12" s="25"/>
    </row>
    <row r="13" spans="2:15" ht="14.25" customHeight="1">
      <c r="B13" t="s">
        <v>26</v>
      </c>
      <c r="C13" t="s">
        <v>23</v>
      </c>
      <c r="D13">
        <f>D10+72</f>
        <v>200</v>
      </c>
      <c r="F13" t="s">
        <v>39</v>
      </c>
      <c r="I13" s="9"/>
      <c r="K13" t="s">
        <v>28</v>
      </c>
      <c r="L13" t="s">
        <v>23</v>
      </c>
      <c r="M13">
        <f>M10+96</f>
        <v>4200</v>
      </c>
      <c r="O13" t="s">
        <v>40</v>
      </c>
    </row>
    <row r="14" spans="2:15" ht="14.25" customHeight="1">
      <c r="B14" t="s">
        <v>30</v>
      </c>
      <c r="C14" t="s">
        <v>31</v>
      </c>
      <c r="D14">
        <f>D13+2</f>
        <v>202</v>
      </c>
      <c r="F14" t="s">
        <v>32</v>
      </c>
      <c r="I14" s="9"/>
      <c r="K14" t="s">
        <v>33</v>
      </c>
      <c r="L14" t="s">
        <v>34</v>
      </c>
      <c r="M14">
        <f>M13+2</f>
        <v>4202</v>
      </c>
      <c r="O14" t="s">
        <v>41</v>
      </c>
    </row>
    <row r="15" spans="2:13" ht="14.25" customHeight="1">
      <c r="B15" t="s">
        <v>42</v>
      </c>
      <c r="C15" t="s">
        <v>31</v>
      </c>
      <c r="D15">
        <f>D14+26</f>
        <v>228</v>
      </c>
      <c r="F15" t="s">
        <v>43</v>
      </c>
      <c r="I15" s="9"/>
      <c r="K15" t="s">
        <v>37</v>
      </c>
      <c r="M15">
        <f>M14+2</f>
        <v>4204</v>
      </c>
    </row>
    <row r="16" spans="2:9" ht="14.25" customHeight="1">
      <c r="B16" t="s">
        <v>44</v>
      </c>
      <c r="D16">
        <f>D15+26</f>
        <v>254</v>
      </c>
      <c r="I16" s="10"/>
    </row>
    <row r="17" spans="1:17" ht="14.25" customHeight="1">
      <c r="A17" s="11" t="s">
        <v>18</v>
      </c>
      <c r="B17" s="12"/>
      <c r="C17" s="12"/>
      <c r="D17" s="12"/>
      <c r="E17" s="12"/>
      <c r="F17" s="12"/>
      <c r="G17" s="12"/>
      <c r="H17" s="13"/>
      <c r="I17" s="8" t="s">
        <v>45</v>
      </c>
      <c r="J17" s="20" t="s">
        <v>20</v>
      </c>
      <c r="K17" s="21"/>
      <c r="L17" s="21"/>
      <c r="M17" s="21"/>
      <c r="N17" s="21"/>
      <c r="O17" s="21"/>
      <c r="P17" s="21"/>
      <c r="Q17" s="22"/>
    </row>
    <row r="18" spans="1:17" ht="14.25" customHeight="1">
      <c r="A18" s="14"/>
      <c r="B18" s="15"/>
      <c r="C18" s="15"/>
      <c r="D18" s="15"/>
      <c r="E18" s="15"/>
      <c r="F18" s="15"/>
      <c r="G18" s="15"/>
      <c r="H18" s="16"/>
      <c r="I18" s="9"/>
      <c r="J18" s="23"/>
      <c r="K18" s="24"/>
      <c r="L18" s="24"/>
      <c r="M18" s="24"/>
      <c r="N18" s="24"/>
      <c r="O18" s="24"/>
      <c r="P18" s="24"/>
      <c r="Q18" s="25"/>
    </row>
    <row r="19" spans="2:15" ht="14.25" customHeight="1">
      <c r="B19" t="s">
        <v>26</v>
      </c>
      <c r="C19" t="s">
        <v>23</v>
      </c>
      <c r="D19">
        <f>D16+46</f>
        <v>300</v>
      </c>
      <c r="F19" t="s">
        <v>39</v>
      </c>
      <c r="I19" s="9"/>
      <c r="K19" t="s">
        <v>28</v>
      </c>
      <c r="L19" t="s">
        <v>23</v>
      </c>
      <c r="M19">
        <f>M15+96</f>
        <v>4300</v>
      </c>
      <c r="O19" t="s">
        <v>40</v>
      </c>
    </row>
    <row r="20" spans="2:15" ht="14.25" customHeight="1">
      <c r="B20" t="s">
        <v>30</v>
      </c>
      <c r="C20" t="s">
        <v>31</v>
      </c>
      <c r="D20">
        <f>D19+2</f>
        <v>302</v>
      </c>
      <c r="F20" t="s">
        <v>46</v>
      </c>
      <c r="I20" s="9"/>
      <c r="K20" t="s">
        <v>33</v>
      </c>
      <c r="L20" t="s">
        <v>34</v>
      </c>
      <c r="M20">
        <f>M19+2</f>
        <v>4302</v>
      </c>
      <c r="O20" t="s">
        <v>41</v>
      </c>
    </row>
    <row r="21" spans="2:13" ht="14.25" customHeight="1">
      <c r="B21" t="s">
        <v>47</v>
      </c>
      <c r="C21" t="s">
        <v>31</v>
      </c>
      <c r="D21">
        <f>D20+26</f>
        <v>328</v>
      </c>
      <c r="F21" t="s">
        <v>48</v>
      </c>
      <c r="I21" s="9"/>
      <c r="K21" t="s">
        <v>37</v>
      </c>
      <c r="M21">
        <f>M20+2</f>
        <v>4304</v>
      </c>
    </row>
    <row r="22" spans="2:9" ht="14.25" customHeight="1">
      <c r="B22" t="s">
        <v>44</v>
      </c>
      <c r="D22">
        <f>D21+26</f>
        <v>354</v>
      </c>
      <c r="I22" s="10"/>
    </row>
    <row r="23" spans="1:17" ht="14.25" customHeight="1">
      <c r="A23" s="11" t="s">
        <v>18</v>
      </c>
      <c r="B23" s="12"/>
      <c r="C23" s="12"/>
      <c r="D23" s="12"/>
      <c r="E23" s="12"/>
      <c r="F23" s="12"/>
      <c r="G23" s="12"/>
      <c r="H23" s="13"/>
      <c r="I23" s="8" t="s">
        <v>49</v>
      </c>
      <c r="J23" s="20" t="s">
        <v>20</v>
      </c>
      <c r="K23" s="21"/>
      <c r="L23" s="21"/>
      <c r="M23" s="21"/>
      <c r="N23" s="21"/>
      <c r="O23" s="21"/>
      <c r="P23" s="21"/>
      <c r="Q23" s="22"/>
    </row>
    <row r="24" spans="1:17" ht="14.25" customHeight="1">
      <c r="A24" s="14"/>
      <c r="B24" s="15"/>
      <c r="C24" s="15"/>
      <c r="D24" s="15"/>
      <c r="E24" s="15"/>
      <c r="F24" s="15"/>
      <c r="G24" s="15"/>
      <c r="H24" s="16"/>
      <c r="I24" s="9"/>
      <c r="J24" s="23"/>
      <c r="K24" s="24"/>
      <c r="L24" s="24"/>
      <c r="M24" s="24"/>
      <c r="N24" s="24"/>
      <c r="O24" s="24"/>
      <c r="P24" s="24"/>
      <c r="Q24" s="25"/>
    </row>
    <row r="25" spans="2:15" ht="14.25" customHeight="1">
      <c r="B25" t="s">
        <v>26</v>
      </c>
      <c r="C25" t="s">
        <v>23</v>
      </c>
      <c r="D25">
        <f>D22+46</f>
        <v>400</v>
      </c>
      <c r="F25" t="s">
        <v>39</v>
      </c>
      <c r="I25" s="9"/>
      <c r="K25" t="s">
        <v>28</v>
      </c>
      <c r="L25" t="s">
        <v>23</v>
      </c>
      <c r="M25">
        <f>M21+96</f>
        <v>4400</v>
      </c>
      <c r="O25" t="s">
        <v>40</v>
      </c>
    </row>
    <row r="26" spans="2:15" ht="14.25" customHeight="1">
      <c r="B26" t="s">
        <v>50</v>
      </c>
      <c r="D26">
        <f>D25+2</f>
        <v>402</v>
      </c>
      <c r="I26" s="9"/>
      <c r="K26" t="s">
        <v>33</v>
      </c>
      <c r="L26" t="s">
        <v>34</v>
      </c>
      <c r="M26">
        <f>M25+2</f>
        <v>4402</v>
      </c>
      <c r="O26" t="s">
        <v>41</v>
      </c>
    </row>
    <row r="27" spans="9:15" ht="14.25" customHeight="1">
      <c r="I27" s="9"/>
      <c r="K27" t="s">
        <v>42</v>
      </c>
      <c r="L27" t="s">
        <v>31</v>
      </c>
      <c r="M27">
        <f>M26+2</f>
        <v>4404</v>
      </c>
      <c r="O27" t="s">
        <v>51</v>
      </c>
    </row>
    <row r="28" spans="9:13" ht="14.25" customHeight="1">
      <c r="I28" s="10"/>
      <c r="K28" t="s">
        <v>52</v>
      </c>
      <c r="M28">
        <f>M27+26</f>
        <v>4430</v>
      </c>
    </row>
    <row r="29" spans="1:17" ht="14.25" customHeight="1">
      <c r="A29" s="11" t="s">
        <v>18</v>
      </c>
      <c r="B29" s="12"/>
      <c r="C29" s="12"/>
      <c r="D29" s="12"/>
      <c r="E29" s="12"/>
      <c r="F29" s="12"/>
      <c r="G29" s="12"/>
      <c r="H29" s="13"/>
      <c r="I29" s="17" t="s">
        <v>53</v>
      </c>
      <c r="J29" s="20" t="s">
        <v>20</v>
      </c>
      <c r="K29" s="21"/>
      <c r="L29" s="21"/>
      <c r="M29" s="21"/>
      <c r="N29" s="21"/>
      <c r="O29" s="21"/>
      <c r="P29" s="21"/>
      <c r="Q29" s="22"/>
    </row>
    <row r="30" spans="1:17" ht="14.25" customHeight="1">
      <c r="A30" s="14"/>
      <c r="B30" s="15"/>
      <c r="C30" s="15"/>
      <c r="D30" s="15"/>
      <c r="E30" s="15"/>
      <c r="F30" s="15"/>
      <c r="G30" s="15"/>
      <c r="H30" s="16"/>
      <c r="I30" s="18"/>
      <c r="J30" s="23"/>
      <c r="K30" s="24"/>
      <c r="L30" s="24"/>
      <c r="M30" s="24"/>
      <c r="N30" s="24"/>
      <c r="O30" s="24"/>
      <c r="P30" s="24"/>
      <c r="Q30" s="25"/>
    </row>
    <row r="31" spans="2:15" ht="14.25" customHeight="1">
      <c r="B31" t="s">
        <v>26</v>
      </c>
      <c r="C31" t="s">
        <v>23</v>
      </c>
      <c r="D31">
        <f>D26+98</f>
        <v>500</v>
      </c>
      <c r="F31" t="s">
        <v>39</v>
      </c>
      <c r="I31" s="18"/>
      <c r="K31" t="s">
        <v>28</v>
      </c>
      <c r="L31" t="s">
        <v>23</v>
      </c>
      <c r="M31">
        <f>M28+70</f>
        <v>4500</v>
      </c>
      <c r="O31" t="s">
        <v>40</v>
      </c>
    </row>
    <row r="32" spans="2:15" ht="14.25" customHeight="1">
      <c r="B32" t="s">
        <v>54</v>
      </c>
      <c r="C32" t="s">
        <v>55</v>
      </c>
      <c r="D32">
        <f>D31+2</f>
        <v>502</v>
      </c>
      <c r="F32" t="s">
        <v>56</v>
      </c>
      <c r="I32" s="18"/>
      <c r="K32" t="s">
        <v>33</v>
      </c>
      <c r="L32" t="s">
        <v>34</v>
      </c>
      <c r="M32">
        <f>M31+2</f>
        <v>4502</v>
      </c>
      <c r="O32" t="s">
        <v>41</v>
      </c>
    </row>
    <row r="33" spans="2:13" ht="14.25" customHeight="1">
      <c r="B33" t="s">
        <v>57</v>
      </c>
      <c r="C33" t="s">
        <v>55</v>
      </c>
      <c r="D33">
        <f>D32+4</f>
        <v>506</v>
      </c>
      <c r="F33" t="s">
        <v>58</v>
      </c>
      <c r="I33" s="18"/>
      <c r="K33" t="s">
        <v>37</v>
      </c>
      <c r="M33">
        <f>M32+2</f>
        <v>4504</v>
      </c>
    </row>
    <row r="34" spans="2:9" ht="14.25" customHeight="1">
      <c r="B34" t="s">
        <v>59</v>
      </c>
      <c r="C34" t="s">
        <v>55</v>
      </c>
      <c r="D34">
        <f>D33+4</f>
        <v>510</v>
      </c>
      <c r="F34" t="s">
        <v>60</v>
      </c>
      <c r="I34" s="18"/>
    </row>
    <row r="35" spans="2:9" ht="14.25" customHeight="1">
      <c r="B35" t="s">
        <v>61</v>
      </c>
      <c r="C35" t="s">
        <v>55</v>
      </c>
      <c r="D35">
        <f>D34+4</f>
        <v>514</v>
      </c>
      <c r="F35" t="s">
        <v>62</v>
      </c>
      <c r="I35" s="18"/>
    </row>
    <row r="36" spans="2:9" ht="14.25" customHeight="1">
      <c r="B36" t="s">
        <v>63</v>
      </c>
      <c r="C36" t="s">
        <v>55</v>
      </c>
      <c r="D36">
        <f>D35+4</f>
        <v>518</v>
      </c>
      <c r="F36" t="s">
        <v>64</v>
      </c>
      <c r="I36" s="18"/>
    </row>
    <row r="37" spans="2:9" ht="14.25" customHeight="1">
      <c r="B37" t="s">
        <v>65</v>
      </c>
      <c r="C37" t="s">
        <v>55</v>
      </c>
      <c r="D37">
        <f>D36+4</f>
        <v>522</v>
      </c>
      <c r="F37" t="s">
        <v>66</v>
      </c>
      <c r="I37" s="18"/>
    </row>
    <row r="38" spans="2:9" ht="14.25" customHeight="1">
      <c r="B38" t="s">
        <v>67</v>
      </c>
      <c r="C38" t="s">
        <v>55</v>
      </c>
      <c r="D38">
        <f>D37+4</f>
        <v>526</v>
      </c>
      <c r="F38" t="s">
        <v>68</v>
      </c>
      <c r="I38" s="18"/>
    </row>
    <row r="39" spans="2:9" ht="14.25" customHeight="1">
      <c r="B39" t="s">
        <v>69</v>
      </c>
      <c r="C39" t="s">
        <v>55</v>
      </c>
      <c r="D39">
        <f>D38+4</f>
        <v>530</v>
      </c>
      <c r="F39" t="s">
        <v>70</v>
      </c>
      <c r="I39" s="18"/>
    </row>
    <row r="40" spans="2:9" ht="14.25" customHeight="1">
      <c r="B40" t="s">
        <v>71</v>
      </c>
      <c r="C40" t="s">
        <v>55</v>
      </c>
      <c r="D40">
        <f>D39+4</f>
        <v>534</v>
      </c>
      <c r="F40" t="s">
        <v>72</v>
      </c>
      <c r="I40" s="18"/>
    </row>
    <row r="41" spans="2:9" ht="14.25" customHeight="1">
      <c r="B41" t="s">
        <v>73</v>
      </c>
      <c r="C41" t="s">
        <v>55</v>
      </c>
      <c r="D41">
        <f>D40+4</f>
        <v>538</v>
      </c>
      <c r="F41" t="s">
        <v>74</v>
      </c>
      <c r="I41" s="18"/>
    </row>
    <row r="42" spans="2:9" ht="14.25" customHeight="1">
      <c r="B42" t="s">
        <v>75</v>
      </c>
      <c r="C42" t="s">
        <v>55</v>
      </c>
      <c r="D42">
        <f>D41+4</f>
        <v>542</v>
      </c>
      <c r="F42" t="s">
        <v>76</v>
      </c>
      <c r="I42" s="18"/>
    </row>
    <row r="43" spans="2:9" ht="14.25" customHeight="1">
      <c r="B43" t="s">
        <v>77</v>
      </c>
      <c r="C43" t="s">
        <v>55</v>
      </c>
      <c r="D43">
        <f>D42+4</f>
        <v>546</v>
      </c>
      <c r="F43" t="s">
        <v>78</v>
      </c>
      <c r="I43" s="18"/>
    </row>
    <row r="44" spans="2:9" ht="14.25" customHeight="1">
      <c r="B44" t="s">
        <v>79</v>
      </c>
      <c r="C44" t="s">
        <v>55</v>
      </c>
      <c r="D44">
        <f>D43+4</f>
        <v>550</v>
      </c>
      <c r="F44" t="s">
        <v>80</v>
      </c>
      <c r="I44" s="18"/>
    </row>
    <row r="45" spans="2:9" ht="14.25" customHeight="1">
      <c r="B45" t="s">
        <v>81</v>
      </c>
      <c r="C45" t="s">
        <v>55</v>
      </c>
      <c r="D45">
        <f>D44+4</f>
        <v>554</v>
      </c>
      <c r="F45" t="s">
        <v>82</v>
      </c>
      <c r="I45" s="18"/>
    </row>
    <row r="46" spans="2:9" ht="14.25" customHeight="1">
      <c r="B46" t="s">
        <v>83</v>
      </c>
      <c r="C46" t="s">
        <v>55</v>
      </c>
      <c r="D46">
        <f>D45+4</f>
        <v>558</v>
      </c>
      <c r="F46" t="s">
        <v>84</v>
      </c>
      <c r="I46" s="18"/>
    </row>
    <row r="47" spans="2:9" ht="14.25" customHeight="1">
      <c r="B47" t="s">
        <v>85</v>
      </c>
      <c r="C47" t="s">
        <v>55</v>
      </c>
      <c r="D47">
        <f>D46+4</f>
        <v>562</v>
      </c>
      <c r="F47" t="s">
        <v>86</v>
      </c>
      <c r="I47" s="18"/>
    </row>
    <row r="48" spans="2:9" ht="14.25" customHeight="1">
      <c r="B48" t="s">
        <v>87</v>
      </c>
      <c r="C48" t="s">
        <v>55</v>
      </c>
      <c r="D48">
        <f>D47+4</f>
        <v>566</v>
      </c>
      <c r="F48" t="s">
        <v>88</v>
      </c>
      <c r="I48" s="18"/>
    </row>
    <row r="49" spans="2:9" ht="14.25" customHeight="1">
      <c r="B49" t="s">
        <v>89</v>
      </c>
      <c r="C49" t="s">
        <v>55</v>
      </c>
      <c r="D49">
        <f>D48+4</f>
        <v>570</v>
      </c>
      <c r="F49" t="s">
        <v>90</v>
      </c>
      <c r="I49" s="18"/>
    </row>
    <row r="50" spans="2:9" ht="14.25" customHeight="1">
      <c r="B50" t="s">
        <v>91</v>
      </c>
      <c r="C50" t="s">
        <v>55</v>
      </c>
      <c r="D50">
        <f>D49+4</f>
        <v>574</v>
      </c>
      <c r="F50" t="s">
        <v>92</v>
      </c>
      <c r="I50" s="18"/>
    </row>
    <row r="51" spans="2:9" ht="14.25" customHeight="1">
      <c r="B51" t="s">
        <v>93</v>
      </c>
      <c r="C51" t="s">
        <v>55</v>
      </c>
      <c r="D51">
        <f>D50+4</f>
        <v>578</v>
      </c>
      <c r="F51" t="s">
        <v>94</v>
      </c>
      <c r="I51" s="18"/>
    </row>
    <row r="52" spans="2:9" ht="25.50" customHeight="1">
      <c r="B52" t="s">
        <v>95</v>
      </c>
      <c r="D52">
        <f>D51+4</f>
        <v>582</v>
      </c>
      <c r="I52" s="19"/>
    </row>
    <row r="53" spans="1:17" ht="14.25" customHeight="1">
      <c r="A53" s="11" t="s">
        <v>18</v>
      </c>
      <c r="B53" s="12"/>
      <c r="C53" s="12"/>
      <c r="D53" s="12"/>
      <c r="E53" s="12"/>
      <c r="F53" s="12"/>
      <c r="G53" s="12"/>
      <c r="H53" s="13"/>
      <c r="I53" s="8" t="s">
        <v>96</v>
      </c>
      <c r="J53" s="20" t="s">
        <v>20</v>
      </c>
      <c r="K53" s="21"/>
      <c r="L53" s="21"/>
      <c r="M53" s="21"/>
      <c r="N53" s="21"/>
      <c r="O53" s="21"/>
      <c r="P53" s="21"/>
      <c r="Q53" s="22"/>
    </row>
    <row r="54" spans="1:17" ht="14.25" customHeight="1">
      <c r="A54" s="14"/>
      <c r="B54" s="15"/>
      <c r="C54" s="15"/>
      <c r="D54" s="15"/>
      <c r="E54" s="15"/>
      <c r="F54" s="15"/>
      <c r="G54" s="15"/>
      <c r="H54" s="16"/>
      <c r="I54" s="9"/>
      <c r="J54" s="23"/>
      <c r="K54" s="24"/>
      <c r="L54" s="24"/>
      <c r="M54" s="24"/>
      <c r="N54" s="24"/>
      <c r="O54" s="24"/>
      <c r="P54" s="24"/>
      <c r="Q54" s="25"/>
    </row>
    <row r="55" spans="2:15" ht="14.25" customHeight="1">
      <c r="B55" t="s">
        <v>26</v>
      </c>
      <c r="C55" t="s">
        <v>23</v>
      </c>
      <c r="D55">
        <f>D52+58</f>
        <v>640</v>
      </c>
      <c r="F55" t="s">
        <v>39</v>
      </c>
      <c r="I55" s="9"/>
      <c r="K55" t="s">
        <v>28</v>
      </c>
      <c r="L55" t="s">
        <v>23</v>
      </c>
      <c r="M55">
        <f>M33+96</f>
        <v>4600</v>
      </c>
      <c r="O55" t="s">
        <v>40</v>
      </c>
    </row>
    <row r="56" spans="2:15" ht="14.25" customHeight="1">
      <c r="B56" t="s">
        <v>30</v>
      </c>
      <c r="C56" t="s">
        <v>97</v>
      </c>
      <c r="D56">
        <f>D55+2</f>
        <v>642</v>
      </c>
      <c r="F56" t="s">
        <v>32</v>
      </c>
      <c r="I56" s="9"/>
      <c r="K56" t="s">
        <v>33</v>
      </c>
      <c r="L56" t="s">
        <v>34</v>
      </c>
      <c r="M56">
        <f>M55+2</f>
        <v>4602</v>
      </c>
      <c r="O56" t="s">
        <v>41</v>
      </c>
    </row>
    <row r="57" spans="2:13" ht="14.25" customHeight="1">
      <c r="B57" t="s">
        <v>98</v>
      </c>
      <c r="C57" t="s">
        <v>99</v>
      </c>
      <c r="D57">
        <f>D56+26</f>
        <v>668</v>
      </c>
      <c r="F57" t="s">
        <v>100</v>
      </c>
      <c r="I57" s="9"/>
      <c r="K57" t="s">
        <v>101</v>
      </c>
      <c r="M57">
        <f>M56+2</f>
        <v>4604</v>
      </c>
    </row>
    <row r="58" spans="2:9" ht="14.25" customHeight="1">
      <c r="B58" t="s">
        <v>102</v>
      </c>
      <c r="C58" t="s">
        <v>129</v>
      </c>
      <c r="D58">
        <f>D57+12</f>
        <v>680</v>
      </c>
      <c r="F58" t="s">
        <v>130</v>
      </c>
      <c r="I58" s="9"/>
    </row>
    <row r="59" spans="2:9">
      <c r="B59" t="s">
        <v>104</v>
      </c>
      <c r="D59">
        <f>D58+16*20</f>
        <v>1000</v>
      </c>
      <c r="I59" s="10"/>
    </row>
  </sheetData>
  <mergeCells count="21">
    <mergeCell ref="A2:H3"/>
    <mergeCell ref="J2:Q3"/>
    <mergeCell ref="I2:I5"/>
    <mergeCell ref="A6:H7"/>
    <mergeCell ref="J6:Q7"/>
    <mergeCell ref="I6:I10"/>
    <mergeCell ref="A11:H12"/>
    <mergeCell ref="J11:Q12"/>
    <mergeCell ref="I11:I16"/>
    <mergeCell ref="A17:H18"/>
    <mergeCell ref="J17:Q18"/>
    <mergeCell ref="I17:I22"/>
    <mergeCell ref="A23:H24"/>
    <mergeCell ref="J23:Q24"/>
    <mergeCell ref="I23:I28"/>
    <mergeCell ref="A29:H30"/>
    <mergeCell ref="J29:Q30"/>
    <mergeCell ref="I29:I52"/>
    <mergeCell ref="A53:H54"/>
    <mergeCell ref="J53:Q54"/>
    <mergeCell ref="I53:I59"/>
  </mergeCells>
  <printOptions>
    <extLst>
      <ext uri="smNativeData">
        <pm:pageFlags xmlns:pm="smNativeData" id="177373642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73736424" l="56" r="56" t="56" b="56" borderId="0" fillId="0" vertical="0"/>
        <pm:footer xmlns:pm="smNativeData" id="1773736424" l="56" r="56" t="56" b="56" borderId="0" fillId="0" vertical="2"/>
        <pm:paperBin xmlns:pm="smNativeData" id="1773736424" Id="0" type="0" value="0"/>
        <pm:paperBin xmlns:pm="smNativeData" id="1773736424" Id="1" type="0" value="0"/>
      </ext>
    </extLst>
  </headerFooter>
  <extLst>
    <ext uri="smNativeData">
      <pm:sheetPrefs xmlns:pm="smNativeData" day="177373642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Q73"/>
  <sheetViews>
    <sheetView view="normal" topLeftCell="A31" zoomScale="90" workbookViewId="0">
      <selection activeCell="I5" sqref="I2:I5"/>
    </sheetView>
  </sheetViews>
  <sheetFormatPr defaultRowHeight="13.45"/>
  <cols>
    <col min="1" max="1" width="6.500000" customWidth="1"/>
    <col min="2" max="2" width="14.620690" customWidth="1"/>
    <col min="3" max="3" width="22.250000" customWidth="1"/>
    <col min="4" max="4" width="11.370690" customWidth="1"/>
    <col min="5" max="5" width="4.120690" customWidth="1"/>
    <col min="6" max="6" width="42.120690" customWidth="1"/>
    <col min="7" max="8" width="6.500000" customWidth="1"/>
    <col min="9" max="9" width="34.750000" customWidth="1"/>
    <col min="10" max="10" width="6.500000" customWidth="1"/>
    <col min="11" max="11" width="13.120690" customWidth="1"/>
    <col min="12" max="12" width="19.000000" customWidth="1"/>
    <col min="13" max="13" width="11.370690" customWidth="1"/>
    <col min="14" max="14" width="4.120690" customWidth="1"/>
    <col min="15" max="15" width="37.120690" customWidth="1"/>
    <col min="16" max="17" width="6.500000" customWidth="1"/>
  </cols>
  <sheetData>
    <row r="1" spans="1:17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4" t="s">
        <v>17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14.25" customHeight="1">
      <c r="A2" s="11" t="s">
        <v>18</v>
      </c>
      <c r="B2" s="12"/>
      <c r="C2" s="12"/>
      <c r="D2" s="12"/>
      <c r="E2" s="12"/>
      <c r="F2" s="12"/>
      <c r="G2" s="12"/>
      <c r="H2" s="13"/>
      <c r="I2" s="8" t="s">
        <v>19</v>
      </c>
      <c r="J2" s="20" t="s">
        <v>20</v>
      </c>
      <c r="K2" s="21"/>
      <c r="L2" s="21"/>
      <c r="M2" s="21"/>
      <c r="N2" s="21"/>
      <c r="O2" s="21"/>
      <c r="P2" s="21"/>
      <c r="Q2" s="22"/>
    </row>
    <row r="3" spans="1:17" ht="14.25" customHeight="1">
      <c r="A3" s="14"/>
      <c r="B3" s="15"/>
      <c r="C3" s="15"/>
      <c r="D3" s="15"/>
      <c r="E3" s="15"/>
      <c r="F3" s="15"/>
      <c r="G3" s="15"/>
      <c r="H3" s="16"/>
      <c r="I3" s="9"/>
      <c r="J3" s="23"/>
      <c r="K3" s="24"/>
      <c r="L3" s="24"/>
      <c r="M3" s="24"/>
      <c r="N3" s="24"/>
      <c r="O3" s="24"/>
      <c r="P3" s="24"/>
      <c r="Q3" s="25"/>
    </row>
    <row r="4" spans="2:17" ht="14.25" customHeight="1">
      <c r="B4" t="s">
        <v>21</v>
      </c>
      <c r="D4" t="n">
        <v>0</v>
      </c>
      <c r="H4" t="n">
        <v>200</v>
      </c>
      <c r="I4" s="9"/>
      <c r="K4" t="s">
        <v>22</v>
      </c>
      <c r="L4" t="s">
        <v>23</v>
      </c>
      <c r="M4" t="n">
        <v>4000</v>
      </c>
      <c r="O4" t="s">
        <v>24</v>
      </c>
      <c r="Q4" t="n">
        <v>200</v>
      </c>
    </row>
    <row r="5" spans="9:9" ht="14.25" customHeight="1">
      <c r="I5" s="9"/>
    </row>
    <row r="6" spans="1:17" ht="14.25" customHeight="1">
      <c r="A6" s="11" t="s">
        <v>18</v>
      </c>
      <c r="B6" s="12"/>
      <c r="C6" s="12"/>
      <c r="D6" s="12"/>
      <c r="E6" s="12"/>
      <c r="F6" s="12"/>
      <c r="G6" s="12"/>
      <c r="H6" s="13"/>
      <c r="I6" s="8" t="s">
        <v>25</v>
      </c>
      <c r="J6" s="20" t="s">
        <v>20</v>
      </c>
      <c r="K6" s="21"/>
      <c r="L6" s="21"/>
      <c r="M6" s="21"/>
      <c r="N6" s="21"/>
      <c r="O6" s="21"/>
      <c r="P6" s="21"/>
      <c r="Q6" s="22"/>
    </row>
    <row r="7" spans="1:17" ht="14.25" customHeight="1">
      <c r="A7" s="14"/>
      <c r="B7" s="15"/>
      <c r="C7" s="15"/>
      <c r="D7" s="15"/>
      <c r="E7" s="15"/>
      <c r="F7" s="15"/>
      <c r="G7" s="15"/>
      <c r="H7" s="16"/>
      <c r="I7" s="9"/>
      <c r="J7" s="23"/>
      <c r="K7" s="24"/>
      <c r="L7" s="24"/>
      <c r="M7" s="24"/>
      <c r="N7" s="24"/>
      <c r="O7" s="24"/>
      <c r="P7" s="24"/>
      <c r="Q7" s="25"/>
    </row>
    <row r="8" spans="2:15" ht="14.25" customHeight="1">
      <c r="B8" t="s">
        <v>26</v>
      </c>
      <c r="C8" t="s">
        <v>23</v>
      </c>
      <c r="D8" t="n">
        <v>100</v>
      </c>
      <c r="F8" t="s">
        <v>27</v>
      </c>
      <c r="I8" s="9"/>
      <c r="K8" t="s">
        <v>28</v>
      </c>
      <c r="L8" t="s">
        <v>23</v>
      </c>
      <c r="M8">
        <f>M4+100</f>
        <v>4100</v>
      </c>
      <c r="N8" t="n">
        <v>0</v>
      </c>
      <c r="O8" t="s">
        <v>29</v>
      </c>
    </row>
    <row r="9" spans="2:15" ht="14.25" customHeight="1">
      <c r="B9" t="s">
        <v>30</v>
      </c>
      <c r="C9" t="s">
        <v>31</v>
      </c>
      <c r="D9">
        <f>D8+2</f>
        <v>102</v>
      </c>
      <c r="F9" t="s">
        <v>32</v>
      </c>
      <c r="I9" s="9"/>
      <c r="K9" t="s">
        <v>33</v>
      </c>
      <c r="L9" t="s">
        <v>34</v>
      </c>
      <c r="M9">
        <f>M8+2</f>
        <v>4102</v>
      </c>
      <c r="O9" t="s">
        <v>35</v>
      </c>
    </row>
    <row r="10" spans="2:13" ht="14.25" customHeight="1">
      <c r="B10" t="s">
        <v>36</v>
      </c>
      <c r="D10">
        <f>D9+26</f>
        <v>128</v>
      </c>
      <c r="I10" s="10"/>
      <c r="K10" t="s">
        <v>37</v>
      </c>
      <c r="M10">
        <f>M9+2</f>
        <v>4104</v>
      </c>
    </row>
    <row r="11" spans="1:17" ht="14.25" customHeight="1">
      <c r="A11" s="11" t="s">
        <v>18</v>
      </c>
      <c r="B11" s="12"/>
      <c r="C11" s="12"/>
      <c r="D11" s="12"/>
      <c r="E11" s="12"/>
      <c r="F11" s="12"/>
      <c r="G11" s="12"/>
      <c r="H11" s="13"/>
      <c r="I11" s="8" t="s">
        <v>38</v>
      </c>
      <c r="J11" s="20" t="s">
        <v>20</v>
      </c>
      <c r="K11" s="21"/>
      <c r="L11" s="21"/>
      <c r="M11" s="21"/>
      <c r="N11" s="21"/>
      <c r="O11" s="21"/>
      <c r="P11" s="21"/>
      <c r="Q11" s="22"/>
    </row>
    <row r="12" spans="1:17" ht="14.25" customHeight="1">
      <c r="A12" s="14"/>
      <c r="B12" s="15"/>
      <c r="C12" s="15"/>
      <c r="D12" s="15"/>
      <c r="E12" s="15"/>
      <c r="F12" s="15"/>
      <c r="G12" s="15"/>
      <c r="H12" s="16"/>
      <c r="I12" s="9"/>
      <c r="J12" s="23"/>
      <c r="K12" s="24"/>
      <c r="L12" s="24"/>
      <c r="M12" s="24"/>
      <c r="N12" s="24"/>
      <c r="O12" s="24"/>
      <c r="P12" s="24"/>
      <c r="Q12" s="25"/>
    </row>
    <row r="13" spans="2:15" ht="14.25" customHeight="1">
      <c r="B13" t="s">
        <v>26</v>
      </c>
      <c r="C13" t="s">
        <v>23</v>
      </c>
      <c r="D13">
        <f>D10+72</f>
        <v>200</v>
      </c>
      <c r="F13" t="s">
        <v>39</v>
      </c>
      <c r="I13" s="9"/>
      <c r="K13" t="s">
        <v>28</v>
      </c>
      <c r="L13" t="s">
        <v>23</v>
      </c>
      <c r="M13">
        <f>M10+96</f>
        <v>4200</v>
      </c>
      <c r="O13" t="s">
        <v>40</v>
      </c>
    </row>
    <row r="14" spans="2:15" ht="14.25" customHeight="1">
      <c r="B14" t="s">
        <v>30</v>
      </c>
      <c r="C14" t="s">
        <v>31</v>
      </c>
      <c r="D14">
        <f>D13+2</f>
        <v>202</v>
      </c>
      <c r="F14" t="s">
        <v>32</v>
      </c>
      <c r="I14" s="9"/>
      <c r="K14" t="s">
        <v>33</v>
      </c>
      <c r="L14" t="s">
        <v>34</v>
      </c>
      <c r="M14">
        <f>M13+2</f>
        <v>4202</v>
      </c>
      <c r="O14" t="s">
        <v>41</v>
      </c>
    </row>
    <row r="15" spans="2:13" ht="14.25" customHeight="1">
      <c r="B15" t="s">
        <v>42</v>
      </c>
      <c r="C15" t="s">
        <v>31</v>
      </c>
      <c r="D15">
        <f>D14+26</f>
        <v>228</v>
      </c>
      <c r="F15" t="s">
        <v>43</v>
      </c>
      <c r="I15" s="9"/>
      <c r="K15" t="s">
        <v>37</v>
      </c>
      <c r="M15">
        <f>M14+2</f>
        <v>4204</v>
      </c>
    </row>
    <row r="16" spans="2:9" ht="14.25" customHeight="1">
      <c r="B16" t="s">
        <v>44</v>
      </c>
      <c r="D16">
        <f>D15+26</f>
        <v>254</v>
      </c>
      <c r="I16" s="10"/>
    </row>
    <row r="17" spans="1:17" ht="14.25" customHeight="1">
      <c r="A17" s="11" t="s">
        <v>18</v>
      </c>
      <c r="B17" s="12"/>
      <c r="C17" s="12"/>
      <c r="D17" s="12"/>
      <c r="E17" s="12"/>
      <c r="F17" s="12"/>
      <c r="G17" s="12"/>
      <c r="H17" s="13"/>
      <c r="I17" s="8" t="s">
        <v>45</v>
      </c>
      <c r="J17" s="20" t="s">
        <v>20</v>
      </c>
      <c r="K17" s="21"/>
      <c r="L17" s="21"/>
      <c r="M17" s="21"/>
      <c r="N17" s="21"/>
      <c r="O17" s="21"/>
      <c r="P17" s="21"/>
      <c r="Q17" s="22"/>
    </row>
    <row r="18" spans="1:17" ht="14.25" customHeight="1">
      <c r="A18" s="14"/>
      <c r="B18" s="15"/>
      <c r="C18" s="15"/>
      <c r="D18" s="15"/>
      <c r="E18" s="15"/>
      <c r="F18" s="15"/>
      <c r="G18" s="15"/>
      <c r="H18" s="16"/>
      <c r="I18" s="9"/>
      <c r="J18" s="23"/>
      <c r="K18" s="24"/>
      <c r="L18" s="24"/>
      <c r="M18" s="24"/>
      <c r="N18" s="24"/>
      <c r="O18" s="24"/>
      <c r="P18" s="24"/>
      <c r="Q18" s="25"/>
    </row>
    <row r="19" spans="2:15" ht="14.25" customHeight="1">
      <c r="B19" t="s">
        <v>26</v>
      </c>
      <c r="C19" t="s">
        <v>23</v>
      </c>
      <c r="D19">
        <f>D16+46</f>
        <v>300</v>
      </c>
      <c r="F19" t="s">
        <v>39</v>
      </c>
      <c r="I19" s="9"/>
      <c r="K19" t="s">
        <v>28</v>
      </c>
      <c r="L19" t="s">
        <v>23</v>
      </c>
      <c r="M19">
        <f>M15+96</f>
        <v>4300</v>
      </c>
      <c r="O19" t="s">
        <v>40</v>
      </c>
    </row>
    <row r="20" spans="2:15" ht="14.25" customHeight="1">
      <c r="B20" t="s">
        <v>30</v>
      </c>
      <c r="C20" t="s">
        <v>31</v>
      </c>
      <c r="D20">
        <f>D19+2</f>
        <v>302</v>
      </c>
      <c r="F20" t="s">
        <v>46</v>
      </c>
      <c r="I20" s="9"/>
      <c r="K20" t="s">
        <v>33</v>
      </c>
      <c r="L20" t="s">
        <v>34</v>
      </c>
      <c r="M20">
        <f>M19+2</f>
        <v>4302</v>
      </c>
      <c r="O20" t="s">
        <v>41</v>
      </c>
    </row>
    <row r="21" spans="2:13" ht="14.25" customHeight="1">
      <c r="B21" t="s">
        <v>47</v>
      </c>
      <c r="C21" t="s">
        <v>31</v>
      </c>
      <c r="D21">
        <f>D20+26</f>
        <v>328</v>
      </c>
      <c r="F21" t="s">
        <v>48</v>
      </c>
      <c r="I21" s="9"/>
      <c r="K21" t="s">
        <v>37</v>
      </c>
      <c r="M21">
        <f>M20+2</f>
        <v>4304</v>
      </c>
    </row>
    <row r="22" spans="2:9" ht="14.25" customHeight="1">
      <c r="B22" t="s">
        <v>44</v>
      </c>
      <c r="D22">
        <f>D21+26</f>
        <v>354</v>
      </c>
      <c r="I22" s="10"/>
    </row>
    <row r="23" spans="1:17" ht="14.25" customHeight="1">
      <c r="A23" s="11" t="s">
        <v>18</v>
      </c>
      <c r="B23" s="12"/>
      <c r="C23" s="12"/>
      <c r="D23" s="12"/>
      <c r="E23" s="12"/>
      <c r="F23" s="12"/>
      <c r="G23" s="12"/>
      <c r="H23" s="13"/>
      <c r="I23" s="8" t="s">
        <v>49</v>
      </c>
      <c r="J23" s="20" t="s">
        <v>20</v>
      </c>
      <c r="K23" s="21"/>
      <c r="L23" s="21"/>
      <c r="M23" s="21"/>
      <c r="N23" s="21"/>
      <c r="O23" s="21"/>
      <c r="P23" s="21"/>
      <c r="Q23" s="22"/>
    </row>
    <row r="24" spans="1:17" ht="14.25" customHeight="1">
      <c r="A24" s="14"/>
      <c r="B24" s="15"/>
      <c r="C24" s="15"/>
      <c r="D24" s="15"/>
      <c r="E24" s="15"/>
      <c r="F24" s="15"/>
      <c r="G24" s="15"/>
      <c r="H24" s="16"/>
      <c r="I24" s="9"/>
      <c r="J24" s="23"/>
      <c r="K24" s="24"/>
      <c r="L24" s="24"/>
      <c r="M24" s="24"/>
      <c r="N24" s="24"/>
      <c r="O24" s="24"/>
      <c r="P24" s="24"/>
      <c r="Q24" s="25"/>
    </row>
    <row r="25" spans="2:15" ht="14.25" customHeight="1">
      <c r="B25" t="s">
        <v>26</v>
      </c>
      <c r="C25" t="s">
        <v>23</v>
      </c>
      <c r="D25">
        <f>D22+46</f>
        <v>400</v>
      </c>
      <c r="F25" t="s">
        <v>39</v>
      </c>
      <c r="I25" s="9"/>
      <c r="K25" t="s">
        <v>28</v>
      </c>
      <c r="L25" t="s">
        <v>23</v>
      </c>
      <c r="M25">
        <f>M21+96</f>
        <v>4400</v>
      </c>
      <c r="O25" t="s">
        <v>40</v>
      </c>
    </row>
    <row r="26" spans="2:15" ht="14.25" customHeight="1">
      <c r="B26" t="s">
        <v>50</v>
      </c>
      <c r="D26">
        <f>D25+2</f>
        <v>402</v>
      </c>
      <c r="I26" s="9"/>
      <c r="K26" t="s">
        <v>33</v>
      </c>
      <c r="L26" t="s">
        <v>34</v>
      </c>
      <c r="M26">
        <f>M25+2</f>
        <v>4402</v>
      </c>
      <c r="O26" t="s">
        <v>41</v>
      </c>
    </row>
    <row r="27" spans="9:15" ht="14.25" customHeight="1">
      <c r="I27" s="9"/>
      <c r="K27" t="s">
        <v>42</v>
      </c>
      <c r="L27" t="s">
        <v>31</v>
      </c>
      <c r="M27">
        <f>M26+2</f>
        <v>4404</v>
      </c>
      <c r="O27" t="s">
        <v>51</v>
      </c>
    </row>
    <row r="28" spans="9:13" ht="14.25" customHeight="1">
      <c r="I28" s="10"/>
      <c r="K28" t="s">
        <v>52</v>
      </c>
      <c r="M28">
        <f>M27+26</f>
        <v>4430</v>
      </c>
    </row>
    <row r="29" spans="1:17" ht="14.25" customHeight="1">
      <c r="A29" s="11" t="s">
        <v>18</v>
      </c>
      <c r="B29" s="12"/>
      <c r="C29" s="12"/>
      <c r="D29" s="12"/>
      <c r="E29" s="12"/>
      <c r="F29" s="12"/>
      <c r="G29" s="12"/>
      <c r="H29" s="13"/>
      <c r="I29" s="17" t="s">
        <v>53</v>
      </c>
      <c r="J29" s="20" t="s">
        <v>20</v>
      </c>
      <c r="K29" s="21"/>
      <c r="L29" s="21"/>
      <c r="M29" s="21"/>
      <c r="N29" s="21"/>
      <c r="O29" s="21"/>
      <c r="P29" s="21"/>
      <c r="Q29" s="22"/>
    </row>
    <row r="30" spans="1:17" ht="14.25" customHeight="1">
      <c r="A30" s="14"/>
      <c r="B30" s="15"/>
      <c r="C30" s="15"/>
      <c r="D30" s="15"/>
      <c r="E30" s="15"/>
      <c r="F30" s="15"/>
      <c r="G30" s="15"/>
      <c r="H30" s="16"/>
      <c r="I30" s="18"/>
      <c r="J30" s="23"/>
      <c r="K30" s="24"/>
      <c r="L30" s="24"/>
      <c r="M30" s="24"/>
      <c r="N30" s="24"/>
      <c r="O30" s="24"/>
      <c r="P30" s="24"/>
      <c r="Q30" s="25"/>
    </row>
    <row r="31" spans="2:15" ht="14.25" customHeight="1">
      <c r="B31" t="s">
        <v>26</v>
      </c>
      <c r="C31" t="s">
        <v>23</v>
      </c>
      <c r="D31">
        <f>D26+98</f>
        <v>500</v>
      </c>
      <c r="F31" t="s">
        <v>39</v>
      </c>
      <c r="I31" s="18"/>
      <c r="K31" t="s">
        <v>28</v>
      </c>
      <c r="L31" t="s">
        <v>23</v>
      </c>
      <c r="M31">
        <f>M28+70</f>
        <v>4500</v>
      </c>
      <c r="O31" t="s">
        <v>40</v>
      </c>
    </row>
    <row r="32" spans="2:15" ht="14.25" customHeight="1">
      <c r="B32" t="s">
        <v>54</v>
      </c>
      <c r="C32" t="s">
        <v>55</v>
      </c>
      <c r="D32">
        <f>D31+2</f>
        <v>502</v>
      </c>
      <c r="F32" t="s">
        <v>56</v>
      </c>
      <c r="I32" s="18"/>
      <c r="K32" t="s">
        <v>33</v>
      </c>
      <c r="L32" t="s">
        <v>34</v>
      </c>
      <c r="M32">
        <f>M31+2</f>
        <v>4502</v>
      </c>
      <c r="O32" t="s">
        <v>41</v>
      </c>
    </row>
    <row r="33" spans="2:13" ht="14.25" customHeight="1">
      <c r="B33" t="s">
        <v>57</v>
      </c>
      <c r="C33" t="s">
        <v>55</v>
      </c>
      <c r="D33">
        <f>D32+4</f>
        <v>506</v>
      </c>
      <c r="F33" t="s">
        <v>58</v>
      </c>
      <c r="I33" s="18"/>
      <c r="K33" t="s">
        <v>37</v>
      </c>
      <c r="M33">
        <f>M32+2</f>
        <v>4504</v>
      </c>
    </row>
    <row r="34" spans="2:9" ht="14.25" customHeight="1">
      <c r="B34" t="s">
        <v>59</v>
      </c>
      <c r="C34" t="s">
        <v>55</v>
      </c>
      <c r="D34">
        <f>D33+4</f>
        <v>510</v>
      </c>
      <c r="F34" t="s">
        <v>60</v>
      </c>
      <c r="I34" s="18"/>
    </row>
    <row r="35" spans="2:9" ht="14.25" customHeight="1">
      <c r="B35" t="s">
        <v>61</v>
      </c>
      <c r="C35" t="s">
        <v>55</v>
      </c>
      <c r="D35">
        <f>D34+4</f>
        <v>514</v>
      </c>
      <c r="F35" t="s">
        <v>62</v>
      </c>
      <c r="I35" s="18"/>
    </row>
    <row r="36" spans="2:9" ht="14.25" customHeight="1">
      <c r="B36" t="s">
        <v>63</v>
      </c>
      <c r="C36" t="s">
        <v>55</v>
      </c>
      <c r="D36">
        <f>D35+4</f>
        <v>518</v>
      </c>
      <c r="F36" t="s">
        <v>64</v>
      </c>
      <c r="I36" s="18"/>
    </row>
    <row r="37" spans="2:9" ht="14.25" customHeight="1">
      <c r="B37" t="s">
        <v>65</v>
      </c>
      <c r="C37" t="s">
        <v>55</v>
      </c>
      <c r="D37">
        <f>D36+4</f>
        <v>522</v>
      </c>
      <c r="F37" t="s">
        <v>66</v>
      </c>
      <c r="I37" s="18"/>
    </row>
    <row r="38" spans="2:9" ht="14.25" customHeight="1">
      <c r="B38" t="s">
        <v>67</v>
      </c>
      <c r="C38" t="s">
        <v>55</v>
      </c>
      <c r="D38">
        <f>D37+4</f>
        <v>526</v>
      </c>
      <c r="F38" t="s">
        <v>68</v>
      </c>
      <c r="I38" s="18"/>
    </row>
    <row r="39" spans="2:9" ht="14.25" customHeight="1">
      <c r="B39" t="s">
        <v>69</v>
      </c>
      <c r="C39" t="s">
        <v>55</v>
      </c>
      <c r="D39">
        <f>D38+4</f>
        <v>530</v>
      </c>
      <c r="F39" t="s">
        <v>70</v>
      </c>
      <c r="I39" s="18"/>
    </row>
    <row r="40" spans="2:9" ht="14.25" customHeight="1">
      <c r="B40" t="s">
        <v>71</v>
      </c>
      <c r="C40" t="s">
        <v>55</v>
      </c>
      <c r="D40">
        <f>D39+4</f>
        <v>534</v>
      </c>
      <c r="F40" t="s">
        <v>72</v>
      </c>
      <c r="I40" s="18"/>
    </row>
    <row r="41" spans="2:9" ht="14.25" customHeight="1">
      <c r="B41" t="s">
        <v>73</v>
      </c>
      <c r="C41" t="s">
        <v>55</v>
      </c>
      <c r="D41">
        <f>D40+4</f>
        <v>538</v>
      </c>
      <c r="F41" t="s">
        <v>74</v>
      </c>
      <c r="I41" s="18"/>
    </row>
    <row r="42" spans="2:9" ht="25.50" customHeight="1">
      <c r="B42" t="s">
        <v>95</v>
      </c>
      <c r="D42">
        <f>D41+4</f>
        <v>542</v>
      </c>
      <c r="I42" s="19"/>
    </row>
    <row r="43" spans="1:17" ht="14.25" customHeight="1">
      <c r="A43" s="11" t="s">
        <v>18</v>
      </c>
      <c r="B43" s="12"/>
      <c r="C43" s="12"/>
      <c r="D43" s="12"/>
      <c r="E43" s="12"/>
      <c r="F43" s="12"/>
      <c r="G43" s="12"/>
      <c r="H43" s="13"/>
      <c r="I43" s="8" t="s">
        <v>96</v>
      </c>
      <c r="J43" s="20" t="s">
        <v>20</v>
      </c>
      <c r="K43" s="21"/>
      <c r="L43" s="21"/>
      <c r="M43" s="21"/>
      <c r="N43" s="21"/>
      <c r="O43" s="21"/>
      <c r="P43" s="21"/>
      <c r="Q43" s="22"/>
    </row>
    <row r="44" spans="1:17" ht="14.25" customHeight="1">
      <c r="A44" s="14"/>
      <c r="B44" s="15"/>
      <c r="C44" s="15"/>
      <c r="D44" s="15"/>
      <c r="E44" s="15"/>
      <c r="F44" s="15"/>
      <c r="G44" s="15"/>
      <c r="H44" s="16"/>
      <c r="I44" s="9"/>
      <c r="J44" s="23"/>
      <c r="K44" s="24"/>
      <c r="L44" s="24"/>
      <c r="M44" s="24"/>
      <c r="N44" s="24"/>
      <c r="O44" s="24"/>
      <c r="P44" s="24"/>
      <c r="Q44" s="25"/>
    </row>
    <row r="45" spans="2:15" ht="14.25" customHeight="1">
      <c r="B45" t="s">
        <v>26</v>
      </c>
      <c r="C45" t="s">
        <v>23</v>
      </c>
      <c r="D45">
        <f>D42+58</f>
        <v>600</v>
      </c>
      <c r="F45" t="s">
        <v>39</v>
      </c>
      <c r="I45" s="9"/>
      <c r="K45" t="s">
        <v>28</v>
      </c>
      <c r="L45" t="s">
        <v>23</v>
      </c>
      <c r="M45">
        <f>M33+96</f>
        <v>4600</v>
      </c>
      <c r="O45" t="s">
        <v>40</v>
      </c>
    </row>
    <row r="46" spans="2:15" ht="14.25" customHeight="1">
      <c r="B46" t="s">
        <v>30</v>
      </c>
      <c r="C46" t="s">
        <v>97</v>
      </c>
      <c r="D46">
        <f>D45+2</f>
        <v>602</v>
      </c>
      <c r="F46" t="s">
        <v>32</v>
      </c>
      <c r="I46" s="9"/>
      <c r="K46" t="s">
        <v>33</v>
      </c>
      <c r="L46" t="s">
        <v>34</v>
      </c>
      <c r="M46">
        <f>M45+2</f>
        <v>4602</v>
      </c>
      <c r="O46" t="s">
        <v>41</v>
      </c>
    </row>
    <row r="47" spans="2:13" ht="14.25" customHeight="1">
      <c r="B47" t="s">
        <v>98</v>
      </c>
      <c r="C47" t="s">
        <v>99</v>
      </c>
      <c r="D47">
        <f>D46+26</f>
        <v>628</v>
      </c>
      <c r="F47" t="s">
        <v>100</v>
      </c>
      <c r="I47" s="9"/>
      <c r="K47" t="s">
        <v>101</v>
      </c>
      <c r="M47">
        <f>M46+2</f>
        <v>4604</v>
      </c>
    </row>
    <row r="48" spans="2:9" ht="14.25" customHeight="1">
      <c r="B48" t="s">
        <v>108</v>
      </c>
      <c r="C48" t="s">
        <v>55</v>
      </c>
      <c r="D48">
        <f>D47+12</f>
        <v>640</v>
      </c>
      <c r="F48" t="s">
        <v>109</v>
      </c>
      <c r="I48" s="9"/>
    </row>
    <row r="49" spans="2:9" ht="14.25" customHeight="1">
      <c r="B49" t="s">
        <v>110</v>
      </c>
      <c r="C49" t="s">
        <v>55</v>
      </c>
      <c r="D49">
        <f>D48+4</f>
        <v>644</v>
      </c>
      <c r="F49" t="s">
        <v>111</v>
      </c>
      <c r="I49" s="9"/>
    </row>
    <row r="50" spans="2:9" ht="14.25" customHeight="1">
      <c r="B50" t="s">
        <v>112</v>
      </c>
      <c r="C50" t="s">
        <v>55</v>
      </c>
      <c r="D50">
        <f>D49+4</f>
        <v>648</v>
      </c>
      <c r="F50" t="s">
        <v>113</v>
      </c>
      <c r="I50" s="9"/>
    </row>
    <row r="51" spans="2:9" ht="14.25" customHeight="1">
      <c r="B51" t="s">
        <v>114</v>
      </c>
      <c r="C51" t="s">
        <v>55</v>
      </c>
      <c r="D51">
        <f>D50+4</f>
        <v>652</v>
      </c>
      <c r="F51" t="s">
        <v>115</v>
      </c>
      <c r="I51" s="9"/>
    </row>
    <row r="52" spans="2:9" ht="14.25" customHeight="1">
      <c r="B52" t="s">
        <v>116</v>
      </c>
      <c r="C52" t="s">
        <v>55</v>
      </c>
      <c r="D52">
        <f>D51+4</f>
        <v>656</v>
      </c>
      <c r="F52" t="s">
        <v>117</v>
      </c>
      <c r="I52" s="9"/>
    </row>
    <row r="53" spans="2:9" ht="14.25" customHeight="1">
      <c r="B53" t="s">
        <v>118</v>
      </c>
      <c r="C53" t="s">
        <v>55</v>
      </c>
      <c r="D53">
        <f>D52+4</f>
        <v>660</v>
      </c>
      <c r="F53" t="s">
        <v>119</v>
      </c>
      <c r="I53" s="9"/>
    </row>
    <row r="54" spans="2:9" ht="14.25" customHeight="1">
      <c r="B54" t="s">
        <v>120</v>
      </c>
      <c r="C54" t="s">
        <v>55</v>
      </c>
      <c r="D54">
        <f>D53+4</f>
        <v>664</v>
      </c>
      <c r="F54" t="s">
        <v>121</v>
      </c>
      <c r="I54" s="9"/>
    </row>
    <row r="55" spans="2:9" ht="14.25" customHeight="1">
      <c r="B55" t="s">
        <v>122</v>
      </c>
      <c r="C55" t="s">
        <v>55</v>
      </c>
      <c r="D55">
        <f>D54+4</f>
        <v>668</v>
      </c>
      <c r="F55" t="s">
        <v>123</v>
      </c>
      <c r="I55" s="9"/>
    </row>
    <row r="56" spans="2:9" ht="14.25" customHeight="1">
      <c r="B56" t="s">
        <v>124</v>
      </c>
      <c r="C56" t="s">
        <v>55</v>
      </c>
      <c r="D56">
        <f>D55+4</f>
        <v>672</v>
      </c>
      <c r="F56" t="s">
        <v>125</v>
      </c>
      <c r="I56" s="9"/>
    </row>
    <row r="57" spans="2:9" ht="14.25" customHeight="1">
      <c r="B57" t="s">
        <v>126</v>
      </c>
      <c r="C57" t="s">
        <v>55</v>
      </c>
      <c r="D57">
        <f>D56+4</f>
        <v>676</v>
      </c>
      <c r="F57" t="s">
        <v>127</v>
      </c>
      <c r="I57" s="9"/>
    </row>
    <row r="58" spans="2:9">
      <c r="B58" t="s">
        <v>104</v>
      </c>
      <c r="D58">
        <f>D57+4</f>
        <v>680</v>
      </c>
      <c r="I58" s="10"/>
    </row>
    <row r="59" spans="1:17" ht="14.25" customHeight="1">
      <c r="A59" s="11" t="s">
        <v>18</v>
      </c>
      <c r="B59" s="12"/>
      <c r="C59" s="12"/>
      <c r="D59" s="12"/>
      <c r="E59" s="12"/>
      <c r="F59" s="12"/>
      <c r="G59" s="12"/>
      <c r="H59" s="13"/>
      <c r="I59" s="8" t="s">
        <v>128</v>
      </c>
      <c r="J59" s="20" t="s">
        <v>20</v>
      </c>
      <c r="K59" s="21"/>
      <c r="L59" s="21"/>
      <c r="M59" s="21"/>
      <c r="N59" s="21"/>
      <c r="O59" s="21"/>
      <c r="P59" s="21"/>
      <c r="Q59" s="22"/>
    </row>
    <row r="60" spans="1:17" ht="14.25" customHeight="1">
      <c r="A60" s="14"/>
      <c r="B60" s="15"/>
      <c r="C60" s="15"/>
      <c r="D60" s="15"/>
      <c r="E60" s="15"/>
      <c r="F60" s="15"/>
      <c r="G60" s="15"/>
      <c r="H60" s="16"/>
      <c r="I60" s="9"/>
      <c r="J60" s="23"/>
      <c r="K60" s="24"/>
      <c r="L60" s="24"/>
      <c r="M60" s="24"/>
      <c r="N60" s="24"/>
      <c r="O60" s="24"/>
      <c r="P60" s="24"/>
      <c r="Q60" s="25"/>
    </row>
    <row r="61" spans="2:15" ht="14.25" customHeight="1">
      <c r="B61" t="s">
        <v>26</v>
      </c>
      <c r="C61" t="s">
        <v>23</v>
      </c>
      <c r="D61">
        <f>D58+120</f>
        <v>800</v>
      </c>
      <c r="F61" t="s">
        <v>39</v>
      </c>
      <c r="I61" s="9"/>
      <c r="K61" t="s">
        <v>28</v>
      </c>
      <c r="L61" t="s">
        <v>23</v>
      </c>
      <c r="M61">
        <f>M47+196</f>
        <v>4800</v>
      </c>
      <c r="O61" t="s">
        <v>40</v>
      </c>
    </row>
    <row r="62" spans="2:15" ht="14.25" customHeight="1">
      <c r="B62" t="s">
        <v>30</v>
      </c>
      <c r="C62" t="s">
        <v>97</v>
      </c>
      <c r="D62">
        <f>D61+2</f>
        <v>802</v>
      </c>
      <c r="F62" t="s">
        <v>32</v>
      </c>
      <c r="I62" s="9"/>
      <c r="K62" t="s">
        <v>33</v>
      </c>
      <c r="L62" t="s">
        <v>34</v>
      </c>
      <c r="M62">
        <f>M61+2</f>
        <v>4802</v>
      </c>
      <c r="O62" t="s">
        <v>41</v>
      </c>
    </row>
    <row r="63" spans="9:9" ht="14.25" customHeight="1">
      <c r="I63" s="9"/>
    </row>
    <row r="64" spans="9:9" ht="14.25" customHeight="1">
      <c r="I64" s="9"/>
    </row>
    <row r="65" spans="9:9" ht="14.25" customHeight="1">
      <c r="I65" s="9"/>
    </row>
    <row r="66" spans="9:9" ht="14.25" customHeight="1">
      <c r="I66" s="9"/>
    </row>
    <row r="67" spans="9:9" ht="14.25" customHeight="1">
      <c r="I67" s="9"/>
    </row>
    <row r="68" spans="9:9" ht="14.25" customHeight="1">
      <c r="I68" s="9"/>
    </row>
    <row r="69" spans="9:9" ht="14.25" customHeight="1">
      <c r="I69" s="9"/>
    </row>
    <row r="70" spans="9:9" ht="14.25" customHeight="1">
      <c r="I70" s="9"/>
    </row>
    <row r="71" spans="9:9" ht="14.25" customHeight="1">
      <c r="I71" s="9"/>
    </row>
    <row r="72" spans="9:9" ht="14.25" customHeight="1">
      <c r="I72" s="9"/>
    </row>
    <row r="73" spans="9:9" ht="14.25" customHeight="1">
      <c r="I73" s="10"/>
    </row>
  </sheetData>
  <mergeCells count="24">
    <mergeCell ref="A2:H3"/>
    <mergeCell ref="J2:Q3"/>
    <mergeCell ref="I2:I5"/>
    <mergeCell ref="A6:H7"/>
    <mergeCell ref="J6:Q7"/>
    <mergeCell ref="I6:I10"/>
    <mergeCell ref="A11:H12"/>
    <mergeCell ref="J11:Q12"/>
    <mergeCell ref="I11:I16"/>
    <mergeCell ref="A17:H18"/>
    <mergeCell ref="J17:Q18"/>
    <mergeCell ref="I17:I22"/>
    <mergeCell ref="A23:H24"/>
    <mergeCell ref="J23:Q24"/>
    <mergeCell ref="I23:I28"/>
    <mergeCell ref="A29:H30"/>
    <mergeCell ref="J29:Q30"/>
    <mergeCell ref="I29:I42"/>
    <mergeCell ref="A43:H44"/>
    <mergeCell ref="J43:Q44"/>
    <mergeCell ref="I43:I58"/>
    <mergeCell ref="A59:H60"/>
    <mergeCell ref="J59:Q60"/>
    <mergeCell ref="I59:I73"/>
  </mergeCells>
  <printOptions>
    <extLst>
      <ext uri="smNativeData">
        <pm:pageFlags xmlns:pm="smNativeData" id="177373642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73736424" l="56" r="56" t="56" b="56" borderId="0" fillId="0" vertical="0"/>
        <pm:footer xmlns:pm="smNativeData" id="1773736424" l="56" r="56" t="56" b="56" borderId="0" fillId="0" vertical="2"/>
        <pm:paperBin xmlns:pm="smNativeData" id="1773736424" Id="0" type="0" value="0"/>
        <pm:paperBin xmlns:pm="smNativeData" id="1773736424" Id="1" type="0" value="0"/>
      </ext>
    </extLst>
  </headerFooter>
  <extLst>
    <ext uri="smNativeData">
      <pm:sheetPrefs xmlns:pm="smNativeData" day="177373642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Q58"/>
  <sheetViews>
    <sheetView view="normal" topLeftCell="A16" workbookViewId="0">
      <selection activeCell="I5" sqref="I2:I5"/>
    </sheetView>
  </sheetViews>
  <sheetFormatPr defaultRowHeight="13.45"/>
  <cols>
    <col min="1" max="1" width="6.500000" customWidth="1"/>
    <col min="2" max="2" width="14.620690" customWidth="1"/>
    <col min="3" max="3" width="28.370690" customWidth="1"/>
    <col min="4" max="4" width="11.370690" customWidth="1"/>
    <col min="5" max="5" width="4.120690" customWidth="1"/>
    <col min="6" max="6" width="42.120690" customWidth="1"/>
    <col min="7" max="8" width="6.500000" customWidth="1"/>
    <col min="9" max="9" width="34.750000" customWidth="1"/>
    <col min="10" max="10" width="6.500000" customWidth="1"/>
    <col min="11" max="11" width="13.120690" customWidth="1"/>
    <col min="12" max="12" width="19.000000" customWidth="1"/>
    <col min="13" max="13" width="11.370690" customWidth="1"/>
    <col min="14" max="14" width="4.120690" customWidth="1"/>
    <col min="15" max="15" width="37.120690" customWidth="1"/>
    <col min="16" max="17" width="6.500000" customWidth="1"/>
  </cols>
  <sheetData>
    <row r="1" spans="1:17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4" t="s">
        <v>17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14.25" customHeight="1">
      <c r="A2" s="11" t="s">
        <v>18</v>
      </c>
      <c r="B2" s="12"/>
      <c r="C2" s="12"/>
      <c r="D2" s="12"/>
      <c r="E2" s="12"/>
      <c r="F2" s="12"/>
      <c r="G2" s="12"/>
      <c r="H2" s="13"/>
      <c r="I2" s="8" t="s">
        <v>19</v>
      </c>
      <c r="J2" s="20" t="s">
        <v>20</v>
      </c>
      <c r="K2" s="21"/>
      <c r="L2" s="21"/>
      <c r="M2" s="21"/>
      <c r="N2" s="21"/>
      <c r="O2" s="21"/>
      <c r="P2" s="21"/>
      <c r="Q2" s="22"/>
    </row>
    <row r="3" spans="1:17" ht="14.25" customHeight="1">
      <c r="A3" s="14"/>
      <c r="B3" s="15"/>
      <c r="C3" s="15"/>
      <c r="D3" s="15"/>
      <c r="E3" s="15"/>
      <c r="F3" s="15"/>
      <c r="G3" s="15"/>
      <c r="H3" s="16"/>
      <c r="I3" s="9"/>
      <c r="J3" s="23"/>
      <c r="K3" s="24"/>
      <c r="L3" s="24"/>
      <c r="M3" s="24"/>
      <c r="N3" s="24"/>
      <c r="O3" s="24"/>
      <c r="P3" s="24"/>
      <c r="Q3" s="25"/>
    </row>
    <row r="4" spans="2:17" ht="14.25" customHeight="1">
      <c r="B4" t="s">
        <v>21</v>
      </c>
      <c r="D4" t="n">
        <v>0</v>
      </c>
      <c r="H4" t="n">
        <v>200</v>
      </c>
      <c r="I4" s="9"/>
      <c r="K4" t="s">
        <v>22</v>
      </c>
      <c r="L4" t="s">
        <v>23</v>
      </c>
      <c r="M4" t="n">
        <v>4000</v>
      </c>
      <c r="O4" t="s">
        <v>24</v>
      </c>
      <c r="Q4" t="n">
        <v>200</v>
      </c>
    </row>
    <row r="5" spans="9:9" ht="14.25" customHeight="1">
      <c r="I5" s="9"/>
    </row>
    <row r="6" spans="1:17" ht="14.25" customHeight="1">
      <c r="A6" s="11" t="s">
        <v>18</v>
      </c>
      <c r="B6" s="12"/>
      <c r="C6" s="12"/>
      <c r="D6" s="12"/>
      <c r="E6" s="12"/>
      <c r="F6" s="12"/>
      <c r="G6" s="12"/>
      <c r="H6" s="13"/>
      <c r="I6" s="8" t="s">
        <v>25</v>
      </c>
      <c r="J6" s="20" t="s">
        <v>20</v>
      </c>
      <c r="K6" s="21"/>
      <c r="L6" s="21"/>
      <c r="M6" s="21"/>
      <c r="N6" s="21"/>
      <c r="O6" s="21"/>
      <c r="P6" s="21"/>
      <c r="Q6" s="22"/>
    </row>
    <row r="7" spans="1:17" ht="14.25" customHeight="1">
      <c r="A7" s="14"/>
      <c r="B7" s="15"/>
      <c r="C7" s="15"/>
      <c r="D7" s="15"/>
      <c r="E7" s="15"/>
      <c r="F7" s="15"/>
      <c r="G7" s="15"/>
      <c r="H7" s="16"/>
      <c r="I7" s="9"/>
      <c r="J7" s="23"/>
      <c r="K7" s="24"/>
      <c r="L7" s="24"/>
      <c r="M7" s="24"/>
      <c r="N7" s="24"/>
      <c r="O7" s="24"/>
      <c r="P7" s="24"/>
      <c r="Q7" s="25"/>
    </row>
    <row r="8" spans="2:15" ht="14.25" customHeight="1">
      <c r="B8" t="s">
        <v>26</v>
      </c>
      <c r="C8" t="s">
        <v>23</v>
      </c>
      <c r="D8" t="n">
        <v>100</v>
      </c>
      <c r="F8" t="s">
        <v>27</v>
      </c>
      <c r="I8" s="9"/>
      <c r="K8" t="s">
        <v>28</v>
      </c>
      <c r="L8" t="s">
        <v>23</v>
      </c>
      <c r="M8">
        <f>M4+100</f>
        <v>4100</v>
      </c>
      <c r="N8" t="n">
        <v>0</v>
      </c>
      <c r="O8" t="s">
        <v>29</v>
      </c>
    </row>
    <row r="9" spans="2:15" ht="14.25" customHeight="1">
      <c r="B9" t="s">
        <v>30</v>
      </c>
      <c r="C9" t="s">
        <v>31</v>
      </c>
      <c r="D9">
        <f>D8+2</f>
        <v>102</v>
      </c>
      <c r="F9" t="s">
        <v>32</v>
      </c>
      <c r="I9" s="9"/>
      <c r="K9" t="s">
        <v>33</v>
      </c>
      <c r="L9" t="s">
        <v>34</v>
      </c>
      <c r="M9">
        <f>M8+2</f>
        <v>4102</v>
      </c>
      <c r="O9" t="s">
        <v>35</v>
      </c>
    </row>
    <row r="10" spans="2:13" ht="14.25" customHeight="1">
      <c r="B10" t="s">
        <v>36</v>
      </c>
      <c r="D10">
        <f>D9+26</f>
        <v>128</v>
      </c>
      <c r="I10" s="10"/>
      <c r="K10" t="s">
        <v>37</v>
      </c>
      <c r="M10">
        <f>M9+2</f>
        <v>4104</v>
      </c>
    </row>
    <row r="11" spans="1:17" ht="14.25" customHeight="1">
      <c r="A11" s="11" t="s">
        <v>18</v>
      </c>
      <c r="B11" s="12"/>
      <c r="C11" s="12"/>
      <c r="D11" s="12"/>
      <c r="E11" s="12"/>
      <c r="F11" s="12"/>
      <c r="G11" s="12"/>
      <c r="H11" s="13"/>
      <c r="I11" s="8" t="s">
        <v>38</v>
      </c>
      <c r="J11" s="20" t="s">
        <v>20</v>
      </c>
      <c r="K11" s="21"/>
      <c r="L11" s="21"/>
      <c r="M11" s="21"/>
      <c r="N11" s="21"/>
      <c r="O11" s="21"/>
      <c r="P11" s="21"/>
      <c r="Q11" s="22"/>
    </row>
    <row r="12" spans="1:17" ht="14.25" customHeight="1">
      <c r="A12" s="14"/>
      <c r="B12" s="15"/>
      <c r="C12" s="15"/>
      <c r="D12" s="15"/>
      <c r="E12" s="15"/>
      <c r="F12" s="15"/>
      <c r="G12" s="15"/>
      <c r="H12" s="16"/>
      <c r="I12" s="9"/>
      <c r="J12" s="23"/>
      <c r="K12" s="24"/>
      <c r="L12" s="24"/>
      <c r="M12" s="24"/>
      <c r="N12" s="24"/>
      <c r="O12" s="24"/>
      <c r="P12" s="24"/>
      <c r="Q12" s="25"/>
    </row>
    <row r="13" spans="2:15" ht="14.25" customHeight="1">
      <c r="B13" t="s">
        <v>26</v>
      </c>
      <c r="C13" t="s">
        <v>23</v>
      </c>
      <c r="D13">
        <f>D10+72</f>
        <v>200</v>
      </c>
      <c r="F13" t="s">
        <v>39</v>
      </c>
      <c r="I13" s="9"/>
      <c r="K13" t="s">
        <v>28</v>
      </c>
      <c r="L13" t="s">
        <v>23</v>
      </c>
      <c r="M13">
        <f>M10+96</f>
        <v>4200</v>
      </c>
      <c r="O13" t="s">
        <v>40</v>
      </c>
    </row>
    <row r="14" spans="2:15" ht="14.25" customHeight="1">
      <c r="B14" t="s">
        <v>30</v>
      </c>
      <c r="C14" t="s">
        <v>31</v>
      </c>
      <c r="D14">
        <f>D13+2</f>
        <v>202</v>
      </c>
      <c r="F14" t="s">
        <v>32</v>
      </c>
      <c r="I14" s="9"/>
      <c r="K14" t="s">
        <v>33</v>
      </c>
      <c r="L14" t="s">
        <v>34</v>
      </c>
      <c r="M14">
        <f>M13+2</f>
        <v>4202</v>
      </c>
      <c r="O14" t="s">
        <v>41</v>
      </c>
    </row>
    <row r="15" spans="2:13" ht="14.25" customHeight="1">
      <c r="B15" t="s">
        <v>42</v>
      </c>
      <c r="C15" t="s">
        <v>31</v>
      </c>
      <c r="D15">
        <f>D14+26</f>
        <v>228</v>
      </c>
      <c r="F15" t="s">
        <v>43</v>
      </c>
      <c r="I15" s="9"/>
      <c r="K15" t="s">
        <v>37</v>
      </c>
      <c r="M15">
        <f>M14+2</f>
        <v>4204</v>
      </c>
    </row>
    <row r="16" spans="2:9" ht="14.25" customHeight="1">
      <c r="B16" t="s">
        <v>44</v>
      </c>
      <c r="D16">
        <f>D15+26</f>
        <v>254</v>
      </c>
      <c r="I16" s="10"/>
    </row>
    <row r="17" spans="1:17" ht="14.25" customHeight="1">
      <c r="A17" s="11" t="s">
        <v>18</v>
      </c>
      <c r="B17" s="12"/>
      <c r="C17" s="12"/>
      <c r="D17" s="12"/>
      <c r="E17" s="12"/>
      <c r="F17" s="12"/>
      <c r="G17" s="12"/>
      <c r="H17" s="13"/>
      <c r="I17" s="8" t="s">
        <v>45</v>
      </c>
      <c r="J17" s="20" t="s">
        <v>20</v>
      </c>
      <c r="K17" s="21"/>
      <c r="L17" s="21"/>
      <c r="M17" s="21"/>
      <c r="N17" s="21"/>
      <c r="O17" s="21"/>
      <c r="P17" s="21"/>
      <c r="Q17" s="22"/>
    </row>
    <row r="18" spans="1:17" ht="14.25" customHeight="1">
      <c r="A18" s="14"/>
      <c r="B18" s="15"/>
      <c r="C18" s="15"/>
      <c r="D18" s="15"/>
      <c r="E18" s="15"/>
      <c r="F18" s="15"/>
      <c r="G18" s="15"/>
      <c r="H18" s="16"/>
      <c r="I18" s="9"/>
      <c r="J18" s="23"/>
      <c r="K18" s="24"/>
      <c r="L18" s="24"/>
      <c r="M18" s="24"/>
      <c r="N18" s="24"/>
      <c r="O18" s="24"/>
      <c r="P18" s="24"/>
      <c r="Q18" s="25"/>
    </row>
    <row r="19" spans="2:15" ht="14.25" customHeight="1">
      <c r="B19" t="s">
        <v>26</v>
      </c>
      <c r="C19" t="s">
        <v>23</v>
      </c>
      <c r="D19">
        <f>D16+46</f>
        <v>300</v>
      </c>
      <c r="F19" t="s">
        <v>39</v>
      </c>
      <c r="I19" s="9"/>
      <c r="K19" t="s">
        <v>28</v>
      </c>
      <c r="L19" t="s">
        <v>23</v>
      </c>
      <c r="M19">
        <f>M15+96</f>
        <v>4300</v>
      </c>
      <c r="O19" t="s">
        <v>40</v>
      </c>
    </row>
    <row r="20" spans="2:15" ht="14.25" customHeight="1">
      <c r="B20" t="s">
        <v>30</v>
      </c>
      <c r="C20" t="s">
        <v>31</v>
      </c>
      <c r="D20">
        <f>D19+2</f>
        <v>302</v>
      </c>
      <c r="F20" t="s">
        <v>46</v>
      </c>
      <c r="I20" s="9"/>
      <c r="K20" t="s">
        <v>33</v>
      </c>
      <c r="L20" t="s">
        <v>34</v>
      </c>
      <c r="M20">
        <f>M19+2</f>
        <v>4302</v>
      </c>
      <c r="O20" t="s">
        <v>41</v>
      </c>
    </row>
    <row r="21" spans="2:13" ht="14.25" customHeight="1">
      <c r="B21" t="s">
        <v>47</v>
      </c>
      <c r="C21" t="s">
        <v>31</v>
      </c>
      <c r="D21">
        <f>D20+26</f>
        <v>328</v>
      </c>
      <c r="F21" t="s">
        <v>48</v>
      </c>
      <c r="I21" s="9"/>
      <c r="K21" t="s">
        <v>37</v>
      </c>
      <c r="M21">
        <f>M20+2</f>
        <v>4304</v>
      </c>
    </row>
    <row r="22" spans="2:9" ht="14.25" customHeight="1">
      <c r="B22" t="s">
        <v>44</v>
      </c>
      <c r="D22">
        <f>D21+26</f>
        <v>354</v>
      </c>
      <c r="I22" s="10"/>
    </row>
    <row r="23" spans="1:17" ht="14.25" customHeight="1">
      <c r="A23" s="11" t="s">
        <v>18</v>
      </c>
      <c r="B23" s="12"/>
      <c r="C23" s="12"/>
      <c r="D23" s="12"/>
      <c r="E23" s="12"/>
      <c r="F23" s="12"/>
      <c r="G23" s="12"/>
      <c r="H23" s="13"/>
      <c r="I23" s="8" t="s">
        <v>49</v>
      </c>
      <c r="J23" s="20" t="s">
        <v>20</v>
      </c>
      <c r="K23" s="21"/>
      <c r="L23" s="21"/>
      <c r="M23" s="21"/>
      <c r="N23" s="21"/>
      <c r="O23" s="21"/>
      <c r="P23" s="21"/>
      <c r="Q23" s="22"/>
    </row>
    <row r="24" spans="1:17" ht="14.25" customHeight="1">
      <c r="A24" s="14"/>
      <c r="B24" s="15"/>
      <c r="C24" s="15"/>
      <c r="D24" s="15"/>
      <c r="E24" s="15"/>
      <c r="F24" s="15"/>
      <c r="G24" s="15"/>
      <c r="H24" s="16"/>
      <c r="I24" s="9"/>
      <c r="J24" s="23"/>
      <c r="K24" s="24"/>
      <c r="L24" s="24"/>
      <c r="M24" s="24"/>
      <c r="N24" s="24"/>
      <c r="O24" s="24"/>
      <c r="P24" s="24"/>
      <c r="Q24" s="25"/>
    </row>
    <row r="25" spans="2:15" ht="14.25" customHeight="1">
      <c r="B25" t="s">
        <v>26</v>
      </c>
      <c r="C25" t="s">
        <v>23</v>
      </c>
      <c r="D25">
        <f>D22+46</f>
        <v>400</v>
      </c>
      <c r="F25" t="s">
        <v>39</v>
      </c>
      <c r="I25" s="9"/>
      <c r="K25" t="s">
        <v>28</v>
      </c>
      <c r="L25" t="s">
        <v>23</v>
      </c>
      <c r="M25">
        <f>M21+96</f>
        <v>4400</v>
      </c>
      <c r="O25" t="s">
        <v>40</v>
      </c>
    </row>
    <row r="26" spans="2:15" ht="14.25" customHeight="1">
      <c r="B26" t="s">
        <v>50</v>
      </c>
      <c r="D26">
        <f>D25+2</f>
        <v>402</v>
      </c>
      <c r="I26" s="9"/>
      <c r="K26" t="s">
        <v>33</v>
      </c>
      <c r="L26" t="s">
        <v>34</v>
      </c>
      <c r="M26">
        <f>M25+2</f>
        <v>4402</v>
      </c>
      <c r="O26" t="s">
        <v>41</v>
      </c>
    </row>
    <row r="27" spans="9:15" ht="14.25" customHeight="1">
      <c r="I27" s="9"/>
      <c r="K27" t="s">
        <v>42</v>
      </c>
      <c r="L27" t="s">
        <v>31</v>
      </c>
      <c r="M27">
        <f>M26+2</f>
        <v>4404</v>
      </c>
      <c r="O27" t="s">
        <v>51</v>
      </c>
    </row>
    <row r="28" spans="9:13" ht="14.25" customHeight="1">
      <c r="I28" s="10"/>
      <c r="K28" t="s">
        <v>52</v>
      </c>
      <c r="M28">
        <f>M27+26</f>
        <v>4430</v>
      </c>
    </row>
    <row r="29" spans="1:17" ht="14.25" customHeight="1">
      <c r="A29" s="11" t="s">
        <v>18</v>
      </c>
      <c r="B29" s="12"/>
      <c r="C29" s="12"/>
      <c r="D29" s="12"/>
      <c r="E29" s="12"/>
      <c r="F29" s="12"/>
      <c r="G29" s="12"/>
      <c r="H29" s="13"/>
      <c r="I29" s="17" t="s">
        <v>53</v>
      </c>
      <c r="J29" s="20" t="s">
        <v>20</v>
      </c>
      <c r="K29" s="21"/>
      <c r="L29" s="21"/>
      <c r="M29" s="21"/>
      <c r="N29" s="21"/>
      <c r="O29" s="21"/>
      <c r="P29" s="21"/>
      <c r="Q29" s="22"/>
    </row>
    <row r="30" spans="1:17" ht="14.25" customHeight="1">
      <c r="A30" s="14"/>
      <c r="B30" s="15"/>
      <c r="C30" s="15"/>
      <c r="D30" s="15"/>
      <c r="E30" s="15"/>
      <c r="F30" s="15"/>
      <c r="G30" s="15"/>
      <c r="H30" s="16"/>
      <c r="I30" s="18"/>
      <c r="J30" s="23"/>
      <c r="K30" s="24"/>
      <c r="L30" s="24"/>
      <c r="M30" s="24"/>
      <c r="N30" s="24"/>
      <c r="O30" s="24"/>
      <c r="P30" s="24"/>
      <c r="Q30" s="25"/>
    </row>
    <row r="31" spans="2:15" ht="14.25" customHeight="1">
      <c r="B31" t="s">
        <v>26</v>
      </c>
      <c r="C31" t="s">
        <v>23</v>
      </c>
      <c r="D31">
        <f>D26+98</f>
        <v>500</v>
      </c>
      <c r="F31" t="s">
        <v>39</v>
      </c>
      <c r="I31" s="18"/>
      <c r="K31" t="s">
        <v>28</v>
      </c>
      <c r="L31" t="s">
        <v>23</v>
      </c>
      <c r="M31">
        <f>M28+70</f>
        <v>4500</v>
      </c>
      <c r="O31" t="s">
        <v>40</v>
      </c>
    </row>
    <row r="32" spans="2:15" ht="14.25" customHeight="1">
      <c r="B32" t="s">
        <v>54</v>
      </c>
      <c r="C32" t="s">
        <v>55</v>
      </c>
      <c r="D32">
        <f>D31+2</f>
        <v>502</v>
      </c>
      <c r="F32" t="s">
        <v>56</v>
      </c>
      <c r="I32" s="18"/>
      <c r="K32" t="s">
        <v>33</v>
      </c>
      <c r="L32" t="s">
        <v>34</v>
      </c>
      <c r="M32">
        <f>M31+2</f>
        <v>4502</v>
      </c>
      <c r="O32" t="s">
        <v>41</v>
      </c>
    </row>
    <row r="33" spans="2:13" ht="14.25" customHeight="1">
      <c r="B33" t="s">
        <v>57</v>
      </c>
      <c r="C33" t="s">
        <v>55</v>
      </c>
      <c r="D33">
        <f>D32+4</f>
        <v>506</v>
      </c>
      <c r="F33" t="s">
        <v>58</v>
      </c>
      <c r="I33" s="18"/>
      <c r="K33" t="s">
        <v>37</v>
      </c>
      <c r="M33">
        <f>M32+2</f>
        <v>4504</v>
      </c>
    </row>
    <row r="34" spans="2:9" ht="14.25" customHeight="1">
      <c r="B34" t="s">
        <v>59</v>
      </c>
      <c r="C34" t="s">
        <v>55</v>
      </c>
      <c r="D34">
        <f>D33+4</f>
        <v>510</v>
      </c>
      <c r="F34" t="s">
        <v>60</v>
      </c>
      <c r="I34" s="18"/>
    </row>
    <row r="35" spans="2:9" ht="14.25" customHeight="1">
      <c r="B35" t="s">
        <v>61</v>
      </c>
      <c r="C35" t="s">
        <v>55</v>
      </c>
      <c r="D35">
        <f>D34+4</f>
        <v>514</v>
      </c>
      <c r="F35" t="s">
        <v>62</v>
      </c>
      <c r="I35" s="18"/>
    </row>
    <row r="36" spans="2:9" ht="14.25" customHeight="1">
      <c r="B36" t="s">
        <v>63</v>
      </c>
      <c r="C36" t="s">
        <v>55</v>
      </c>
      <c r="D36">
        <f>D35+4</f>
        <v>518</v>
      </c>
      <c r="F36" t="s">
        <v>64</v>
      </c>
      <c r="I36" s="18"/>
    </row>
    <row r="37" spans="2:9" ht="14.25" customHeight="1">
      <c r="B37" t="s">
        <v>65</v>
      </c>
      <c r="C37" t="s">
        <v>55</v>
      </c>
      <c r="D37">
        <f>D36+4</f>
        <v>522</v>
      </c>
      <c r="F37" t="s">
        <v>66</v>
      </c>
      <c r="I37" s="18"/>
    </row>
    <row r="38" spans="2:9" ht="14.25" customHeight="1">
      <c r="B38" t="s">
        <v>67</v>
      </c>
      <c r="C38" t="s">
        <v>55</v>
      </c>
      <c r="D38">
        <f>D37+4</f>
        <v>526</v>
      </c>
      <c r="F38" t="s">
        <v>68</v>
      </c>
      <c r="I38" s="18"/>
    </row>
    <row r="39" spans="2:9" ht="14.25" customHeight="1">
      <c r="B39" t="s">
        <v>69</v>
      </c>
      <c r="C39" t="s">
        <v>55</v>
      </c>
      <c r="D39">
        <f>D38+4</f>
        <v>530</v>
      </c>
      <c r="F39" t="s">
        <v>70</v>
      </c>
      <c r="I39" s="18"/>
    </row>
    <row r="40" spans="2:9" ht="14.25" customHeight="1">
      <c r="B40" t="s">
        <v>71</v>
      </c>
      <c r="C40" t="s">
        <v>55</v>
      </c>
      <c r="D40">
        <f>D39+4</f>
        <v>534</v>
      </c>
      <c r="F40" t="s">
        <v>72</v>
      </c>
      <c r="I40" s="18"/>
    </row>
    <row r="41" spans="2:9" ht="14.25" customHeight="1">
      <c r="B41" t="s">
        <v>73</v>
      </c>
      <c r="C41" t="s">
        <v>55</v>
      </c>
      <c r="D41">
        <f>D40+4</f>
        <v>538</v>
      </c>
      <c r="F41" t="s">
        <v>74</v>
      </c>
      <c r="I41" s="18"/>
    </row>
    <row r="42" spans="2:9" ht="25.50" customHeight="1">
      <c r="B42" t="s">
        <v>95</v>
      </c>
      <c r="D42">
        <f>D41+4</f>
        <v>542</v>
      </c>
      <c r="I42" s="19"/>
    </row>
    <row r="43" spans="1:17" ht="14.25" customHeight="1">
      <c r="A43" s="11" t="s">
        <v>18</v>
      </c>
      <c r="B43" s="12"/>
      <c r="C43" s="12"/>
      <c r="D43" s="12"/>
      <c r="E43" s="12"/>
      <c r="F43" s="12"/>
      <c r="G43" s="12"/>
      <c r="H43" s="13"/>
      <c r="I43" s="8" t="s">
        <v>96</v>
      </c>
      <c r="J43" s="20" t="s">
        <v>20</v>
      </c>
      <c r="K43" s="21"/>
      <c r="L43" s="21"/>
      <c r="M43" s="21"/>
      <c r="N43" s="21"/>
      <c r="O43" s="21"/>
      <c r="P43" s="21"/>
      <c r="Q43" s="22"/>
    </row>
    <row r="44" spans="1:17" ht="14.25" customHeight="1">
      <c r="A44" s="14"/>
      <c r="B44" s="15"/>
      <c r="C44" s="15"/>
      <c r="D44" s="15"/>
      <c r="E44" s="15"/>
      <c r="F44" s="15"/>
      <c r="G44" s="15"/>
      <c r="H44" s="16"/>
      <c r="I44" s="9"/>
      <c r="J44" s="23"/>
      <c r="K44" s="24"/>
      <c r="L44" s="24"/>
      <c r="M44" s="24"/>
      <c r="N44" s="24"/>
      <c r="O44" s="24"/>
      <c r="P44" s="24"/>
      <c r="Q44" s="25"/>
    </row>
    <row r="45" spans="2:15" ht="14.25" customHeight="1">
      <c r="B45" t="s">
        <v>26</v>
      </c>
      <c r="C45" t="s">
        <v>23</v>
      </c>
      <c r="D45">
        <f>D42+58</f>
        <v>600</v>
      </c>
      <c r="F45" t="s">
        <v>39</v>
      </c>
      <c r="I45" s="9"/>
      <c r="K45" t="s">
        <v>28</v>
      </c>
      <c r="L45" t="s">
        <v>23</v>
      </c>
      <c r="M45">
        <f>M33+96</f>
        <v>4600</v>
      </c>
      <c r="O45" t="s">
        <v>40</v>
      </c>
    </row>
    <row r="46" spans="2:15" ht="14.25" customHeight="1">
      <c r="B46" t="s">
        <v>30</v>
      </c>
      <c r="C46" t="s">
        <v>97</v>
      </c>
      <c r="D46">
        <f>D45+2</f>
        <v>602</v>
      </c>
      <c r="F46" t="s">
        <v>32</v>
      </c>
      <c r="I46" s="9"/>
      <c r="K46" t="s">
        <v>33</v>
      </c>
      <c r="L46" t="s">
        <v>34</v>
      </c>
      <c r="M46">
        <f>M45+2</f>
        <v>4602</v>
      </c>
      <c r="O46" t="s">
        <v>41</v>
      </c>
    </row>
    <row r="47" spans="2:9" ht="14.25" customHeight="1">
      <c r="B47" t="s">
        <v>131</v>
      </c>
      <c r="C47" t="s">
        <v>132</v>
      </c>
      <c r="D47">
        <f>D46+2</f>
        <v>604</v>
      </c>
      <c r="F47" t="s">
        <v>133</v>
      </c>
      <c r="I47" s="9"/>
    </row>
    <row r="48" spans="9:9" ht="14.25" customHeight="1">
      <c r="I48" s="9"/>
    </row>
    <row r="49" spans="9:9" ht="14.25" customHeight="1">
      <c r="I49" s="9"/>
    </row>
    <row r="50" spans="9:9" ht="14.25" customHeight="1">
      <c r="I50" s="9"/>
    </row>
    <row r="51" spans="9:9" ht="14.25" customHeight="1">
      <c r="I51" s="9"/>
    </row>
    <row r="52" spans="9:9" ht="14.25" customHeight="1">
      <c r="I52" s="9"/>
    </row>
    <row r="53" spans="9:9" ht="14.25" customHeight="1">
      <c r="I53" s="9"/>
    </row>
    <row r="54" spans="9:9" ht="14.25" customHeight="1">
      <c r="I54" s="9"/>
    </row>
    <row r="55" spans="9:9" ht="14.25" customHeight="1">
      <c r="I55" s="9"/>
    </row>
    <row r="56" spans="9:9" ht="14.25" customHeight="1">
      <c r="I56" s="9"/>
    </row>
    <row r="57" spans="9:9" ht="14.25" customHeight="1">
      <c r="I57" s="9"/>
    </row>
    <row r="58" spans="9:9">
      <c r="I58" s="10"/>
    </row>
  </sheetData>
  <mergeCells count="21">
    <mergeCell ref="A2:H3"/>
    <mergeCell ref="J2:Q3"/>
    <mergeCell ref="I2:I5"/>
    <mergeCell ref="A6:H7"/>
    <mergeCell ref="J6:Q7"/>
    <mergeCell ref="I6:I10"/>
    <mergeCell ref="A11:H12"/>
    <mergeCell ref="J11:Q12"/>
    <mergeCell ref="I11:I16"/>
    <mergeCell ref="A17:H18"/>
    <mergeCell ref="J17:Q18"/>
    <mergeCell ref="I17:I22"/>
    <mergeCell ref="A23:H24"/>
    <mergeCell ref="J23:Q24"/>
    <mergeCell ref="I23:I28"/>
    <mergeCell ref="A29:H30"/>
    <mergeCell ref="J29:Q30"/>
    <mergeCell ref="I29:I42"/>
    <mergeCell ref="A43:H44"/>
    <mergeCell ref="J43:Q44"/>
    <mergeCell ref="I43:I58"/>
  </mergeCells>
  <printOptions>
    <extLst>
      <ext uri="smNativeData">
        <pm:pageFlags xmlns:pm="smNativeData" id="177373642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73736424" l="56" r="56" t="56" b="56" borderId="0" fillId="0" vertical="0"/>
        <pm:footer xmlns:pm="smNativeData" id="1773736424" l="56" r="56" t="56" b="56" borderId="0" fillId="0" vertical="2"/>
        <pm:paperBin xmlns:pm="smNativeData" id="1773736424" Id="0" type="0" value="0"/>
        <pm:paperBin xmlns:pm="smNativeData" id="1773736424" Id="1" type="0" value="0"/>
      </ext>
    </extLst>
  </headerFooter>
  <extLst>
    <ext uri="smNativeData">
      <pm:sheetPrefs xmlns:pm="smNativeData" day="177373642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E10:G15"/>
  <sheetViews>
    <sheetView view="normal" workbookViewId="0">
      <selection activeCell="E10" sqref="E10"/>
    </sheetView>
  </sheetViews>
  <sheetFormatPr defaultRowHeight="13.45"/>
  <cols>
    <col min="2" max="2" width="12.500000" customWidth="1"/>
    <col min="5" max="5" width="12.500000" customWidth="1"/>
  </cols>
  <sheetData>
    <row r="10" spans="5:7">
      <c r="E10" s="6" t="s">
        <v>10</v>
      </c>
      <c r="F10" s="6" t="s">
        <v>11</v>
      </c>
      <c r="G10" s="6" t="s">
        <v>134</v>
      </c>
    </row>
    <row r="11" spans="5:7">
      <c r="E11" s="7" t="s">
        <v>135</v>
      </c>
      <c r="F11" s="7" t="s">
        <v>136</v>
      </c>
      <c r="G11" s="7" t="s">
        <v>137</v>
      </c>
    </row>
    <row r="12" spans="5:7">
      <c r="E12" s="7" t="s">
        <v>138</v>
      </c>
      <c r="F12" s="7" t="s">
        <v>136</v>
      </c>
      <c r="G12" s="7" t="s">
        <v>139</v>
      </c>
    </row>
    <row r="13" spans="5:7">
      <c r="E13" s="7" t="s">
        <v>140</v>
      </c>
      <c r="F13" s="7" t="s">
        <v>136</v>
      </c>
      <c r="G13" s="7" t="s">
        <v>141</v>
      </c>
    </row>
    <row r="14" spans="5:7">
      <c r="E14" s="7" t="s">
        <v>142</v>
      </c>
      <c r="F14" s="7" t="s">
        <v>143</v>
      </c>
      <c r="G14" s="7" t="s">
        <v>144</v>
      </c>
    </row>
    <row r="15" spans="5:7">
      <c r="E15" s="7" t="s">
        <v>145</v>
      </c>
      <c r="F15" s="7" t="s">
        <v>143</v>
      </c>
      <c r="G15" s="7" t="s">
        <v>146</v>
      </c>
    </row>
  </sheetData>
  <printOptions>
    <extLst>
      <ext uri="smNativeData">
        <pm:pageFlags xmlns:pm="smNativeData" id="177373642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73736424" l="56" r="56" t="56" b="56" borderId="0" fillId="0" vertical="0"/>
        <pm:footer xmlns:pm="smNativeData" id="1773736424" l="56" r="56" t="56" b="56" borderId="0" fillId="0" vertical="2"/>
        <pm:paperBin xmlns:pm="smNativeData" id="1773736424" Id="0" type="0" value="0"/>
        <pm:paperBin xmlns:pm="smNativeData" id="1773736424" Id="1" type="0" value="0"/>
      </ext>
    </extLst>
  </headerFooter>
  <extLst>
    <ext uri="smNativeData">
      <pm:sheetPrefs xmlns:pm="smNativeData" day="177373642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Q59"/>
  <sheetViews>
    <sheetView view="normal" topLeftCell="A22" workbookViewId="0">
      <selection activeCell="G55" sqref="G55"/>
    </sheetView>
  </sheetViews>
  <sheetFormatPr defaultRowHeight="13.45"/>
  <cols>
    <col min="1" max="1" width="6.500000" customWidth="1"/>
    <col min="2" max="2" width="14.620690" customWidth="1"/>
    <col min="3" max="3" width="25.482759" customWidth="1"/>
    <col min="4" max="4" width="11.370690" customWidth="1"/>
    <col min="5" max="5" width="4.120690" customWidth="1"/>
    <col min="6" max="6" width="42.120690" customWidth="1"/>
    <col min="7" max="8" width="6.500000" customWidth="1"/>
    <col min="9" max="9" width="34.750000" customWidth="1"/>
    <col min="10" max="10" width="6.500000" customWidth="1"/>
    <col min="11" max="11" width="13.120690" customWidth="1"/>
    <col min="12" max="12" width="19.000000" customWidth="1"/>
    <col min="13" max="13" width="11.370690" customWidth="1"/>
    <col min="14" max="14" width="4.120690" customWidth="1"/>
    <col min="15" max="15" width="37.120690" customWidth="1"/>
    <col min="16" max="17" width="6.500000" customWidth="1"/>
  </cols>
  <sheetData>
    <row r="1" spans="1:17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4" t="s">
        <v>17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14.25" customHeight="1">
      <c r="A2" s="11" t="s">
        <v>18</v>
      </c>
      <c r="B2" s="12"/>
      <c r="C2" s="12"/>
      <c r="D2" s="12"/>
      <c r="E2" s="12"/>
      <c r="F2" s="12"/>
      <c r="G2" s="12"/>
      <c r="H2" s="13"/>
      <c r="I2" s="8" t="s">
        <v>19</v>
      </c>
      <c r="J2" s="20" t="s">
        <v>20</v>
      </c>
      <c r="K2" s="21"/>
      <c r="L2" s="21"/>
      <c r="M2" s="21"/>
      <c r="N2" s="21"/>
      <c r="O2" s="21"/>
      <c r="P2" s="21"/>
      <c r="Q2" s="22"/>
    </row>
    <row r="3" spans="1:17" ht="14.25" customHeight="1">
      <c r="A3" s="14"/>
      <c r="B3" s="15"/>
      <c r="C3" s="15"/>
      <c r="D3" s="15"/>
      <c r="E3" s="15"/>
      <c r="F3" s="15"/>
      <c r="G3" s="15"/>
      <c r="H3" s="16"/>
      <c r="I3" s="9"/>
      <c r="J3" s="23"/>
      <c r="K3" s="24"/>
      <c r="L3" s="24"/>
      <c r="M3" s="24"/>
      <c r="N3" s="24"/>
      <c r="O3" s="24"/>
      <c r="P3" s="24"/>
      <c r="Q3" s="25"/>
    </row>
    <row r="4" spans="2:17" ht="14.25" customHeight="1">
      <c r="B4" t="s">
        <v>21</v>
      </c>
      <c r="D4" t="n">
        <v>0</v>
      </c>
      <c r="H4" t="n">
        <v>200</v>
      </c>
      <c r="I4" s="9"/>
      <c r="K4" t="s">
        <v>22</v>
      </c>
      <c r="L4" t="s">
        <v>23</v>
      </c>
      <c r="M4" t="n">
        <v>4000</v>
      </c>
      <c r="O4" t="s">
        <v>24</v>
      </c>
      <c r="Q4" t="n">
        <v>200</v>
      </c>
    </row>
    <row r="5" spans="9:9" ht="14.25" customHeight="1">
      <c r="I5" s="9"/>
    </row>
    <row r="6" spans="1:17" ht="14.25" customHeight="1">
      <c r="A6" s="11" t="s">
        <v>18</v>
      </c>
      <c r="B6" s="12"/>
      <c r="C6" s="12"/>
      <c r="D6" s="12"/>
      <c r="E6" s="12"/>
      <c r="F6" s="12"/>
      <c r="G6" s="12"/>
      <c r="H6" s="13"/>
      <c r="I6" s="8" t="s">
        <v>25</v>
      </c>
      <c r="J6" s="20" t="s">
        <v>20</v>
      </c>
      <c r="K6" s="21"/>
      <c r="L6" s="21"/>
      <c r="M6" s="21"/>
      <c r="N6" s="21"/>
      <c r="O6" s="21"/>
      <c r="P6" s="21"/>
      <c r="Q6" s="22"/>
    </row>
    <row r="7" spans="1:17" ht="14.25" customHeight="1">
      <c r="A7" s="14"/>
      <c r="B7" s="15"/>
      <c r="C7" s="15"/>
      <c r="D7" s="15"/>
      <c r="E7" s="15"/>
      <c r="F7" s="15"/>
      <c r="G7" s="15"/>
      <c r="H7" s="16"/>
      <c r="I7" s="9"/>
      <c r="J7" s="23"/>
      <c r="K7" s="24"/>
      <c r="L7" s="24"/>
      <c r="M7" s="24"/>
      <c r="N7" s="24"/>
      <c r="O7" s="24"/>
      <c r="P7" s="24"/>
      <c r="Q7" s="25"/>
    </row>
    <row r="8" spans="2:15" ht="14.25" customHeight="1">
      <c r="B8" t="s">
        <v>26</v>
      </c>
      <c r="C8" t="s">
        <v>23</v>
      </c>
      <c r="D8" t="n">
        <v>100</v>
      </c>
      <c r="F8" t="s">
        <v>27</v>
      </c>
      <c r="I8" s="9"/>
      <c r="K8" t="s">
        <v>28</v>
      </c>
      <c r="L8" t="s">
        <v>23</v>
      </c>
      <c r="M8">
        <f>M4+100</f>
        <v>4100</v>
      </c>
      <c r="N8" t="n">
        <v>0</v>
      </c>
      <c r="O8" t="s">
        <v>29</v>
      </c>
    </row>
    <row r="9" spans="2:15" ht="14.25" customHeight="1">
      <c r="B9" t="s">
        <v>30</v>
      </c>
      <c r="C9" t="s">
        <v>31</v>
      </c>
      <c r="D9">
        <f>D8+2</f>
        <v>102</v>
      </c>
      <c r="F9" t="s">
        <v>32</v>
      </c>
      <c r="I9" s="9"/>
      <c r="K9" t="s">
        <v>33</v>
      </c>
      <c r="L9" t="s">
        <v>34</v>
      </c>
      <c r="M9">
        <f>M8+2</f>
        <v>4102</v>
      </c>
      <c r="O9" t="s">
        <v>35</v>
      </c>
    </row>
    <row r="10" spans="2:13" ht="14.25" customHeight="1">
      <c r="B10" t="s">
        <v>36</v>
      </c>
      <c r="D10">
        <f>D9+26</f>
        <v>128</v>
      </c>
      <c r="I10" s="10"/>
      <c r="K10" t="s">
        <v>37</v>
      </c>
      <c r="M10">
        <f>M9+2</f>
        <v>4104</v>
      </c>
    </row>
    <row r="11" spans="1:17" ht="14.25" customHeight="1">
      <c r="A11" s="11" t="s">
        <v>18</v>
      </c>
      <c r="B11" s="12"/>
      <c r="C11" s="12"/>
      <c r="D11" s="12"/>
      <c r="E11" s="12"/>
      <c r="F11" s="12"/>
      <c r="G11" s="12"/>
      <c r="H11" s="13"/>
      <c r="I11" s="8" t="s">
        <v>38</v>
      </c>
      <c r="J11" s="20" t="s">
        <v>20</v>
      </c>
      <c r="K11" s="21"/>
      <c r="L11" s="21"/>
      <c r="M11" s="21"/>
      <c r="N11" s="21"/>
      <c r="O11" s="21"/>
      <c r="P11" s="21"/>
      <c r="Q11" s="22"/>
    </row>
    <row r="12" spans="1:17" ht="14.25" customHeight="1">
      <c r="A12" s="14"/>
      <c r="B12" s="15"/>
      <c r="C12" s="15"/>
      <c r="D12" s="15"/>
      <c r="E12" s="15"/>
      <c r="F12" s="15"/>
      <c r="G12" s="15"/>
      <c r="H12" s="16"/>
      <c r="I12" s="9"/>
      <c r="J12" s="23"/>
      <c r="K12" s="24"/>
      <c r="L12" s="24"/>
      <c r="M12" s="24"/>
      <c r="N12" s="24"/>
      <c r="O12" s="24"/>
      <c r="P12" s="24"/>
      <c r="Q12" s="25"/>
    </row>
    <row r="13" spans="2:15" ht="14.25" customHeight="1">
      <c r="B13" t="s">
        <v>26</v>
      </c>
      <c r="C13" t="s">
        <v>23</v>
      </c>
      <c r="D13">
        <f>D10+72</f>
        <v>200</v>
      </c>
      <c r="F13" t="s">
        <v>39</v>
      </c>
      <c r="I13" s="9"/>
      <c r="K13" t="s">
        <v>28</v>
      </c>
      <c r="L13" t="s">
        <v>23</v>
      </c>
      <c r="M13">
        <f>M10+96</f>
        <v>4200</v>
      </c>
      <c r="O13" t="s">
        <v>40</v>
      </c>
    </row>
    <row r="14" spans="2:15" ht="14.25" customHeight="1">
      <c r="B14" t="s">
        <v>30</v>
      </c>
      <c r="C14" t="s">
        <v>31</v>
      </c>
      <c r="D14">
        <f>D13+2</f>
        <v>202</v>
      </c>
      <c r="F14" t="s">
        <v>32</v>
      </c>
      <c r="I14" s="9"/>
      <c r="K14" t="s">
        <v>33</v>
      </c>
      <c r="L14" t="s">
        <v>34</v>
      </c>
      <c r="M14">
        <f>M13+2</f>
        <v>4202</v>
      </c>
      <c r="O14" t="s">
        <v>41</v>
      </c>
    </row>
    <row r="15" spans="2:13" ht="14.25" customHeight="1">
      <c r="B15" t="s">
        <v>42</v>
      </c>
      <c r="C15" t="s">
        <v>31</v>
      </c>
      <c r="D15">
        <f>D14+26</f>
        <v>228</v>
      </c>
      <c r="F15" t="s">
        <v>43</v>
      </c>
      <c r="I15" s="9"/>
      <c r="K15" t="s">
        <v>37</v>
      </c>
      <c r="M15">
        <f>M14+2</f>
        <v>4204</v>
      </c>
    </row>
    <row r="16" spans="2:9" ht="14.25" customHeight="1">
      <c r="B16" t="s">
        <v>44</v>
      </c>
      <c r="D16">
        <f>D15+26</f>
        <v>254</v>
      </c>
      <c r="I16" s="10"/>
    </row>
    <row r="17" spans="1:17" ht="14.25" customHeight="1">
      <c r="A17" s="11" t="s">
        <v>18</v>
      </c>
      <c r="B17" s="12"/>
      <c r="C17" s="12"/>
      <c r="D17" s="12"/>
      <c r="E17" s="12"/>
      <c r="F17" s="12"/>
      <c r="G17" s="12"/>
      <c r="H17" s="13"/>
      <c r="I17" s="8" t="s">
        <v>45</v>
      </c>
      <c r="J17" s="20" t="s">
        <v>20</v>
      </c>
      <c r="K17" s="21"/>
      <c r="L17" s="21"/>
      <c r="M17" s="21"/>
      <c r="N17" s="21"/>
      <c r="O17" s="21"/>
      <c r="P17" s="21"/>
      <c r="Q17" s="22"/>
    </row>
    <row r="18" spans="1:17" ht="14.25" customHeight="1">
      <c r="A18" s="14"/>
      <c r="B18" s="15"/>
      <c r="C18" s="15"/>
      <c r="D18" s="15"/>
      <c r="E18" s="15"/>
      <c r="F18" s="15"/>
      <c r="G18" s="15"/>
      <c r="H18" s="16"/>
      <c r="I18" s="9"/>
      <c r="J18" s="23"/>
      <c r="K18" s="24"/>
      <c r="L18" s="24"/>
      <c r="M18" s="24"/>
      <c r="N18" s="24"/>
      <c r="O18" s="24"/>
      <c r="P18" s="24"/>
      <c r="Q18" s="25"/>
    </row>
    <row r="19" spans="2:15" ht="14.25" customHeight="1">
      <c r="B19" t="s">
        <v>26</v>
      </c>
      <c r="C19" t="s">
        <v>23</v>
      </c>
      <c r="D19">
        <f>D16+46</f>
        <v>300</v>
      </c>
      <c r="F19" t="s">
        <v>39</v>
      </c>
      <c r="I19" s="9"/>
      <c r="K19" t="s">
        <v>28</v>
      </c>
      <c r="L19" t="s">
        <v>23</v>
      </c>
      <c r="M19">
        <f>M15+96</f>
        <v>4300</v>
      </c>
      <c r="O19" t="s">
        <v>40</v>
      </c>
    </row>
    <row r="20" spans="2:15" ht="14.25" customHeight="1">
      <c r="B20" t="s">
        <v>30</v>
      </c>
      <c r="C20" t="s">
        <v>31</v>
      </c>
      <c r="D20">
        <f>D19+2</f>
        <v>302</v>
      </c>
      <c r="F20" t="s">
        <v>46</v>
      </c>
      <c r="I20" s="9"/>
      <c r="K20" t="s">
        <v>33</v>
      </c>
      <c r="L20" t="s">
        <v>34</v>
      </c>
      <c r="M20">
        <f>M19+2</f>
        <v>4302</v>
      </c>
      <c r="O20" t="s">
        <v>41</v>
      </c>
    </row>
    <row r="21" spans="2:13" ht="14.25" customHeight="1">
      <c r="B21" t="s">
        <v>47</v>
      </c>
      <c r="C21" t="s">
        <v>31</v>
      </c>
      <c r="D21">
        <f>D20+26</f>
        <v>328</v>
      </c>
      <c r="F21" t="s">
        <v>48</v>
      </c>
      <c r="I21" s="9"/>
      <c r="K21" t="s">
        <v>37</v>
      </c>
      <c r="M21">
        <f>M20+2</f>
        <v>4304</v>
      </c>
    </row>
    <row r="22" spans="2:9" ht="14.25" customHeight="1">
      <c r="B22" t="s">
        <v>44</v>
      </c>
      <c r="D22">
        <f>D21+26</f>
        <v>354</v>
      </c>
      <c r="I22" s="10"/>
    </row>
    <row r="23" spans="1:17" ht="14.25" customHeight="1">
      <c r="A23" s="11" t="s">
        <v>18</v>
      </c>
      <c r="B23" s="12"/>
      <c r="C23" s="12"/>
      <c r="D23" s="12"/>
      <c r="E23" s="12"/>
      <c r="F23" s="12"/>
      <c r="G23" s="12"/>
      <c r="H23" s="13"/>
      <c r="I23" s="8" t="s">
        <v>49</v>
      </c>
      <c r="J23" s="20" t="s">
        <v>20</v>
      </c>
      <c r="K23" s="21"/>
      <c r="L23" s="21"/>
      <c r="M23" s="21"/>
      <c r="N23" s="21"/>
      <c r="O23" s="21"/>
      <c r="P23" s="21"/>
      <c r="Q23" s="22"/>
    </row>
    <row r="24" spans="1:17" ht="14.25" customHeight="1">
      <c r="A24" s="14"/>
      <c r="B24" s="15"/>
      <c r="C24" s="15"/>
      <c r="D24" s="15"/>
      <c r="E24" s="15"/>
      <c r="F24" s="15"/>
      <c r="G24" s="15"/>
      <c r="H24" s="16"/>
      <c r="I24" s="9"/>
      <c r="J24" s="23"/>
      <c r="K24" s="24"/>
      <c r="L24" s="24"/>
      <c r="M24" s="24"/>
      <c r="N24" s="24"/>
      <c r="O24" s="24"/>
      <c r="P24" s="24"/>
      <c r="Q24" s="25"/>
    </row>
    <row r="25" spans="2:15" ht="14.25" customHeight="1">
      <c r="B25" t="s">
        <v>26</v>
      </c>
      <c r="C25" t="s">
        <v>23</v>
      </c>
      <c r="D25">
        <f>D22+46</f>
        <v>400</v>
      </c>
      <c r="F25" t="s">
        <v>39</v>
      </c>
      <c r="I25" s="9"/>
      <c r="K25" t="s">
        <v>28</v>
      </c>
      <c r="L25" t="s">
        <v>23</v>
      </c>
      <c r="M25">
        <f>M21+96</f>
        <v>4400</v>
      </c>
      <c r="O25" t="s">
        <v>40</v>
      </c>
    </row>
    <row r="26" spans="2:15" ht="14.25" customHeight="1">
      <c r="B26" t="s">
        <v>50</v>
      </c>
      <c r="D26">
        <f>D25+2</f>
        <v>402</v>
      </c>
      <c r="I26" s="9"/>
      <c r="K26" t="s">
        <v>33</v>
      </c>
      <c r="L26" t="s">
        <v>34</v>
      </c>
      <c r="M26">
        <f>M25+2</f>
        <v>4402</v>
      </c>
      <c r="O26" t="s">
        <v>41</v>
      </c>
    </row>
    <row r="27" spans="9:15" ht="14.25" customHeight="1">
      <c r="I27" s="9"/>
      <c r="K27" t="s">
        <v>42</v>
      </c>
      <c r="L27" t="s">
        <v>31</v>
      </c>
      <c r="M27">
        <f>M26+2</f>
        <v>4404</v>
      </c>
      <c r="O27" t="s">
        <v>51</v>
      </c>
    </row>
    <row r="28" spans="9:13" ht="14.25" customHeight="1">
      <c r="I28" s="10"/>
      <c r="K28" t="s">
        <v>52</v>
      </c>
      <c r="M28">
        <f>M27+26</f>
        <v>4430</v>
      </c>
    </row>
    <row r="29" spans="1:17" ht="14.25" customHeight="1">
      <c r="A29" s="11" t="s">
        <v>18</v>
      </c>
      <c r="B29" s="12"/>
      <c r="C29" s="12"/>
      <c r="D29" s="12"/>
      <c r="E29" s="12"/>
      <c r="F29" s="12"/>
      <c r="G29" s="12"/>
      <c r="H29" s="13"/>
      <c r="I29" s="17" t="s">
        <v>53</v>
      </c>
      <c r="J29" s="20" t="s">
        <v>20</v>
      </c>
      <c r="K29" s="21"/>
      <c r="L29" s="21"/>
      <c r="M29" s="21"/>
      <c r="N29" s="21"/>
      <c r="O29" s="21"/>
      <c r="P29" s="21"/>
      <c r="Q29" s="22"/>
    </row>
    <row r="30" spans="1:17" ht="14.25" customHeight="1">
      <c r="A30" s="14"/>
      <c r="B30" s="15"/>
      <c r="C30" s="15"/>
      <c r="D30" s="15"/>
      <c r="E30" s="15"/>
      <c r="F30" s="15"/>
      <c r="G30" s="15"/>
      <c r="H30" s="16"/>
      <c r="I30" s="18"/>
      <c r="J30" s="23"/>
      <c r="K30" s="24"/>
      <c r="L30" s="24"/>
      <c r="M30" s="24"/>
      <c r="N30" s="24"/>
      <c r="O30" s="24"/>
      <c r="P30" s="24"/>
      <c r="Q30" s="25"/>
    </row>
    <row r="31" spans="2:15" ht="14.25" customHeight="1">
      <c r="B31" t="s">
        <v>26</v>
      </c>
      <c r="C31" t="s">
        <v>23</v>
      </c>
      <c r="D31">
        <f>D26+98</f>
        <v>500</v>
      </c>
      <c r="F31" t="s">
        <v>39</v>
      </c>
      <c r="I31" s="18"/>
      <c r="K31" t="s">
        <v>28</v>
      </c>
      <c r="L31" t="s">
        <v>23</v>
      </c>
      <c r="M31">
        <f>M28+70</f>
        <v>4500</v>
      </c>
      <c r="O31" t="s">
        <v>40</v>
      </c>
    </row>
    <row r="32" spans="2:15" ht="14.25" customHeight="1">
      <c r="B32" t="s">
        <v>54</v>
      </c>
      <c r="C32" t="s">
        <v>55</v>
      </c>
      <c r="D32">
        <f>D31+2</f>
        <v>502</v>
      </c>
      <c r="F32" t="s">
        <v>56</v>
      </c>
      <c r="I32" s="18"/>
      <c r="K32" t="s">
        <v>33</v>
      </c>
      <c r="L32" t="s">
        <v>34</v>
      </c>
      <c r="M32">
        <f>M31+2</f>
        <v>4502</v>
      </c>
      <c r="O32" t="s">
        <v>41</v>
      </c>
    </row>
    <row r="33" spans="2:13" ht="14.25" customHeight="1">
      <c r="B33" t="s">
        <v>57</v>
      </c>
      <c r="C33" t="s">
        <v>55</v>
      </c>
      <c r="D33">
        <f>D32+4</f>
        <v>506</v>
      </c>
      <c r="F33" t="s">
        <v>58</v>
      </c>
      <c r="I33" s="18"/>
      <c r="K33" t="s">
        <v>37</v>
      </c>
      <c r="M33">
        <f>M32+2</f>
        <v>4504</v>
      </c>
    </row>
    <row r="34" spans="2:9" ht="14.25" customHeight="1">
      <c r="B34" t="s">
        <v>59</v>
      </c>
      <c r="C34" t="s">
        <v>55</v>
      </c>
      <c r="D34">
        <f>D33+4</f>
        <v>510</v>
      </c>
      <c r="F34" t="s">
        <v>60</v>
      </c>
      <c r="I34" s="18"/>
    </row>
    <row r="35" spans="2:9" ht="14.25" customHeight="1">
      <c r="B35" t="s">
        <v>61</v>
      </c>
      <c r="C35" t="s">
        <v>55</v>
      </c>
      <c r="D35">
        <f>D34+4</f>
        <v>514</v>
      </c>
      <c r="F35" t="s">
        <v>62</v>
      </c>
      <c r="I35" s="18"/>
    </row>
    <row r="36" spans="2:9" ht="14.25" customHeight="1">
      <c r="B36" t="s">
        <v>63</v>
      </c>
      <c r="C36" t="s">
        <v>55</v>
      </c>
      <c r="D36">
        <f>D35+4</f>
        <v>518</v>
      </c>
      <c r="F36" t="s">
        <v>64</v>
      </c>
      <c r="I36" s="18"/>
    </row>
    <row r="37" spans="2:9" ht="14.25" customHeight="1">
      <c r="B37" t="s">
        <v>65</v>
      </c>
      <c r="C37" t="s">
        <v>55</v>
      </c>
      <c r="D37">
        <f>D36+4</f>
        <v>522</v>
      </c>
      <c r="F37" t="s">
        <v>66</v>
      </c>
      <c r="I37" s="18"/>
    </row>
    <row r="38" spans="2:9" ht="14.25" customHeight="1">
      <c r="B38" t="s">
        <v>67</v>
      </c>
      <c r="C38" t="s">
        <v>55</v>
      </c>
      <c r="D38">
        <f>D37+4</f>
        <v>526</v>
      </c>
      <c r="F38" t="s">
        <v>68</v>
      </c>
      <c r="I38" s="18"/>
    </row>
    <row r="39" spans="2:9" ht="14.25" customHeight="1">
      <c r="B39" t="s">
        <v>69</v>
      </c>
      <c r="C39" t="s">
        <v>55</v>
      </c>
      <c r="D39">
        <f>D38+4</f>
        <v>530</v>
      </c>
      <c r="F39" t="s">
        <v>70</v>
      </c>
      <c r="I39" s="18"/>
    </row>
    <row r="40" spans="2:9" ht="14.25" customHeight="1">
      <c r="B40" t="s">
        <v>71</v>
      </c>
      <c r="C40" t="s">
        <v>55</v>
      </c>
      <c r="D40">
        <f>D39+4</f>
        <v>534</v>
      </c>
      <c r="F40" t="s">
        <v>72</v>
      </c>
      <c r="I40" s="18"/>
    </row>
    <row r="41" spans="2:9" ht="14.25" customHeight="1">
      <c r="B41" t="s">
        <v>73</v>
      </c>
      <c r="C41" t="s">
        <v>55</v>
      </c>
      <c r="D41">
        <f>D40+4</f>
        <v>538</v>
      </c>
      <c r="F41" t="s">
        <v>74</v>
      </c>
      <c r="I41" s="18"/>
    </row>
    <row r="42" spans="2:9" ht="14.25" customHeight="1">
      <c r="B42" t="s">
        <v>75</v>
      </c>
      <c r="C42" t="s">
        <v>55</v>
      </c>
      <c r="D42">
        <f>D41+4</f>
        <v>542</v>
      </c>
      <c r="F42" t="s">
        <v>76</v>
      </c>
      <c r="I42" s="18"/>
    </row>
    <row r="43" spans="2:9" ht="14.25" customHeight="1">
      <c r="B43" t="s">
        <v>77</v>
      </c>
      <c r="C43" t="s">
        <v>55</v>
      </c>
      <c r="D43">
        <f>D42+4</f>
        <v>546</v>
      </c>
      <c r="F43" t="s">
        <v>78</v>
      </c>
      <c r="I43" s="18"/>
    </row>
    <row r="44" spans="2:9" ht="14.25" customHeight="1">
      <c r="B44" t="s">
        <v>79</v>
      </c>
      <c r="C44" t="s">
        <v>55</v>
      </c>
      <c r="D44">
        <f>D43+4</f>
        <v>550</v>
      </c>
      <c r="F44" t="s">
        <v>80</v>
      </c>
      <c r="I44" s="18"/>
    </row>
    <row r="45" spans="2:9" ht="14.25" customHeight="1">
      <c r="B45" t="s">
        <v>81</v>
      </c>
      <c r="C45" t="s">
        <v>55</v>
      </c>
      <c r="D45">
        <f>D44+4</f>
        <v>554</v>
      </c>
      <c r="F45" t="s">
        <v>82</v>
      </c>
      <c r="I45" s="18"/>
    </row>
    <row r="46" spans="2:9" ht="14.25" customHeight="1">
      <c r="B46" t="s">
        <v>83</v>
      </c>
      <c r="C46" t="s">
        <v>55</v>
      </c>
      <c r="D46">
        <f>D45+4</f>
        <v>558</v>
      </c>
      <c r="F46" t="s">
        <v>84</v>
      </c>
      <c r="I46" s="18"/>
    </row>
    <row r="47" spans="2:9" ht="14.25" customHeight="1">
      <c r="B47" t="s">
        <v>85</v>
      </c>
      <c r="C47" t="s">
        <v>55</v>
      </c>
      <c r="D47">
        <f>D46+4</f>
        <v>562</v>
      </c>
      <c r="F47" t="s">
        <v>86</v>
      </c>
      <c r="I47" s="18"/>
    </row>
    <row r="48" spans="2:9" ht="14.25" customHeight="1">
      <c r="B48" t="s">
        <v>87</v>
      </c>
      <c r="C48" t="s">
        <v>55</v>
      </c>
      <c r="D48">
        <f>D47+4</f>
        <v>566</v>
      </c>
      <c r="F48" t="s">
        <v>88</v>
      </c>
      <c r="I48" s="18"/>
    </row>
    <row r="49" spans="2:9" ht="14.25" customHeight="1">
      <c r="B49" t="s">
        <v>89</v>
      </c>
      <c r="C49" t="s">
        <v>55</v>
      </c>
      <c r="D49">
        <f>D48+4</f>
        <v>570</v>
      </c>
      <c r="F49" t="s">
        <v>90</v>
      </c>
      <c r="I49" s="18"/>
    </row>
    <row r="50" spans="2:9" ht="14.25" customHeight="1">
      <c r="B50" t="s">
        <v>91</v>
      </c>
      <c r="C50" t="s">
        <v>55</v>
      </c>
      <c r="D50">
        <f>D49+4</f>
        <v>574</v>
      </c>
      <c r="F50" t="s">
        <v>92</v>
      </c>
      <c r="I50" s="18"/>
    </row>
    <row r="51" spans="2:9" ht="14.25" customHeight="1">
      <c r="B51" t="s">
        <v>93</v>
      </c>
      <c r="C51" t="s">
        <v>55</v>
      </c>
      <c r="D51">
        <f>D50+4</f>
        <v>578</v>
      </c>
      <c r="F51" t="s">
        <v>94</v>
      </c>
      <c r="I51" s="18"/>
    </row>
    <row r="52" spans="2:9" ht="25.50" customHeight="1">
      <c r="B52" t="s">
        <v>95</v>
      </c>
      <c r="D52">
        <f>D51+4</f>
        <v>582</v>
      </c>
      <c r="I52" s="19"/>
    </row>
    <row r="53" spans="1:17" ht="14.25" customHeight="1">
      <c r="A53" s="11" t="s">
        <v>18</v>
      </c>
      <c r="B53" s="12"/>
      <c r="C53" s="12"/>
      <c r="D53" s="12"/>
      <c r="E53" s="12"/>
      <c r="F53" s="12"/>
      <c r="G53" s="12"/>
      <c r="H53" s="13"/>
      <c r="I53" s="8" t="s">
        <v>96</v>
      </c>
      <c r="J53" s="20" t="s">
        <v>20</v>
      </c>
      <c r="K53" s="21"/>
      <c r="L53" s="21"/>
      <c r="M53" s="21"/>
      <c r="N53" s="21"/>
      <c r="O53" s="21"/>
      <c r="P53" s="21"/>
      <c r="Q53" s="22"/>
    </row>
    <row r="54" spans="1:17" ht="14.25" customHeight="1">
      <c r="A54" s="14"/>
      <c r="B54" s="15"/>
      <c r="C54" s="15"/>
      <c r="D54" s="15"/>
      <c r="E54" s="15"/>
      <c r="F54" s="15"/>
      <c r="G54" s="15"/>
      <c r="H54" s="16"/>
      <c r="I54" s="9"/>
      <c r="J54" s="23"/>
      <c r="K54" s="24"/>
      <c r="L54" s="24"/>
      <c r="M54" s="24"/>
      <c r="N54" s="24"/>
      <c r="O54" s="24"/>
      <c r="P54" s="24"/>
      <c r="Q54" s="25"/>
    </row>
    <row r="55" spans="2:15" ht="14.25" customHeight="1">
      <c r="B55" t="s">
        <v>26</v>
      </c>
      <c r="C55" t="s">
        <v>23</v>
      </c>
      <c r="D55">
        <f>D52+58</f>
        <v>640</v>
      </c>
      <c r="F55" t="s">
        <v>39</v>
      </c>
      <c r="I55" s="9"/>
      <c r="K55" t="s">
        <v>28</v>
      </c>
      <c r="L55" t="s">
        <v>23</v>
      </c>
      <c r="M55">
        <f>M33+96</f>
        <v>4600</v>
      </c>
      <c r="O55" t="s">
        <v>40</v>
      </c>
    </row>
    <row r="56" spans="2:15" ht="14.25" customHeight="1">
      <c r="B56" t="s">
        <v>30</v>
      </c>
      <c r="C56" t="s">
        <v>97</v>
      </c>
      <c r="D56">
        <f>D55+2</f>
        <v>642</v>
      </c>
      <c r="F56" t="s">
        <v>32</v>
      </c>
      <c r="I56" s="9"/>
      <c r="K56" t="s">
        <v>33</v>
      </c>
      <c r="L56" t="s">
        <v>34</v>
      </c>
      <c r="M56">
        <f>M55+2</f>
        <v>4602</v>
      </c>
      <c r="O56" t="s">
        <v>41</v>
      </c>
    </row>
    <row r="57" spans="2:13" ht="14.25" customHeight="1">
      <c r="B57" t="s">
        <v>98</v>
      </c>
      <c r="C57" t="s">
        <v>99</v>
      </c>
      <c r="D57">
        <f>D56+26</f>
        <v>668</v>
      </c>
      <c r="F57" t="s">
        <v>100</v>
      </c>
      <c r="I57" s="9"/>
      <c r="K57" t="s">
        <v>101</v>
      </c>
      <c r="M57">
        <f>M56+2</f>
        <v>4604</v>
      </c>
    </row>
    <row r="58" spans="2:9" ht="14.25" customHeight="1">
      <c r="B58" t="s">
        <v>102</v>
      </c>
      <c r="C58" t="s">
        <v>129</v>
      </c>
      <c r="D58">
        <f>D57+12</f>
        <v>680</v>
      </c>
      <c r="F58" t="s">
        <v>130</v>
      </c>
      <c r="I58" s="9"/>
    </row>
    <row r="59" spans="2:9">
      <c r="B59" t="s">
        <v>104</v>
      </c>
      <c r="D59">
        <f>D58+16*20</f>
        <v>1000</v>
      </c>
      <c r="I59" s="10"/>
    </row>
  </sheetData>
  <mergeCells count="21">
    <mergeCell ref="A2:H3"/>
    <mergeCell ref="J2:Q3"/>
    <mergeCell ref="I2:I4"/>
    <mergeCell ref="A6:H7"/>
    <mergeCell ref="J6:Q7"/>
    <mergeCell ref="I6:I10"/>
    <mergeCell ref="A11:H12"/>
    <mergeCell ref="J11:Q12"/>
    <mergeCell ref="I11:I16"/>
    <mergeCell ref="A17:H18"/>
    <mergeCell ref="J17:Q18"/>
    <mergeCell ref="I17:I22"/>
    <mergeCell ref="A23:H24"/>
    <mergeCell ref="J23:Q24"/>
    <mergeCell ref="I23:I28"/>
    <mergeCell ref="A29:H30"/>
    <mergeCell ref="J29:Q30"/>
    <mergeCell ref="I29:I52"/>
    <mergeCell ref="A53:H54"/>
    <mergeCell ref="J53:Q54"/>
    <mergeCell ref="I53:I59"/>
  </mergeCells>
  <printOptions>
    <extLst>
      <ext uri="smNativeData">
        <pm:pageFlags xmlns:pm="smNativeData" id="177373642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73736424" l="56" r="56" t="56" b="56" borderId="0" fillId="0" vertical="0"/>
        <pm:footer xmlns:pm="smNativeData" id="1773736424" l="56" r="56" t="56" b="56" borderId="0" fillId="0" vertical="2"/>
        <pm:paperBin xmlns:pm="smNativeData" id="1773736424" Id="0" type="0" value="0"/>
        <pm:paperBin xmlns:pm="smNativeData" id="1773736424" Id="1" type="0" value="0"/>
      </ext>
    </extLst>
  </headerFooter>
  <extLst>
    <ext uri="smNativeData">
      <pm:sheetPrefs xmlns:pm="smNativeData" day="177373642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E10:G14"/>
  <sheetViews>
    <sheetView view="normal" workbookViewId="0">
      <selection activeCell="H14" sqref="H14"/>
    </sheetView>
  </sheetViews>
  <sheetFormatPr baseColWidth="9" defaultColWidth="10.000000" defaultRowHeight="13.45"/>
  <cols>
    <col min="5" max="5" width="10.629310" customWidth="1"/>
    <col min="7" max="7" width="10.629310" customWidth="1"/>
  </cols>
  <sheetData>
    <row r="10" spans="5:7">
      <c r="E10" s="26" t="s">
        <v>10</v>
      </c>
      <c r="F10" s="26" t="s">
        <v>11</v>
      </c>
      <c r="G10" s="26" t="s">
        <v>134</v>
      </c>
    </row>
    <row r="11" spans="5:7">
      <c r="E11" s="27" t="s">
        <v>147</v>
      </c>
      <c r="F11" s="27" t="s">
        <v>55</v>
      </c>
      <c r="G11" s="27" t="s">
        <v>147</v>
      </c>
    </row>
    <row r="12" spans="5:7">
      <c r="E12" s="27" t="s">
        <v>148</v>
      </c>
      <c r="F12" s="27" t="s">
        <v>55</v>
      </c>
      <c r="G12" s="27" t="s">
        <v>148</v>
      </c>
    </row>
    <row r="13" spans="5:7">
      <c r="E13" s="27" t="s">
        <v>149</v>
      </c>
      <c r="F13" s="27" t="s">
        <v>55</v>
      </c>
      <c r="G13" s="27" t="s">
        <v>149</v>
      </c>
    </row>
    <row r="14" spans="5:7">
      <c r="E14" s="27" t="s">
        <v>150</v>
      </c>
      <c r="F14" s="27" t="s">
        <v>55</v>
      </c>
      <c r="G14" s="27" t="s">
        <v>150</v>
      </c>
    </row>
  </sheetData>
  <printOptions>
    <extLst>
      <ext uri="smNativeData">
        <pm:pageFlags xmlns:pm="smNativeData" id="1773736424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3736424" l="56" r="56" t="56" b="56" borderId="0" fillId="0" vertical="0"/>
        <pm:footer xmlns:pm="smNativeData" id="1773736424" l="56" r="56" t="56" b="56" borderId="0" fillId="0" vertical="2"/>
        <pm:paperBin xmlns:pm="smNativeData" id="1773736424" Id="0" type="0" value="0"/>
        <pm:paperBin xmlns:pm="smNativeData" id="1773736424" Id="1" type="0" value="0"/>
      </ext>
    </extLst>
  </headerFooter>
  <extLst>
    <ext uri="smNativeData">
      <pm:sheetPrefs xmlns:pm="smNativeData" day="177373642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zhiyun.qin</cp:lastModifiedBy>
  <cp:revision>0</cp:revision>
  <dcterms:created xsi:type="dcterms:W3CDTF">2015-06-05T18:19:34Z</dcterms:created>
  <dcterms:modified xsi:type="dcterms:W3CDTF">2026-03-17T08:33:44Z</dcterms:modified>
</cp:coreProperties>
</file>