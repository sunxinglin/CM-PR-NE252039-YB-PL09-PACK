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1_{DA1CA594-C348-4281-9390-AA79A2FA18C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修订说明" sheetId="14" r:id="rId1"/>
    <sheet name="下箱体上线" sheetId="10" r:id="rId2"/>
    <sheet name="下箱体涂胶" sheetId="5" r:id="rId3"/>
    <sheet name="模组入箱(LY_PL57使用)" sheetId="6" r:id="rId4"/>
    <sheet name="肩部涂胶" sheetId="7" r:id="rId5"/>
    <sheet name="肩部涂胶Array参数" sheetId="15" r:id="rId6"/>
    <sheet name="压条自动加压和拧紧" sheetId="8" r:id="rId7"/>
    <sheet name="上盖拧紧" sheetId="11" r:id="rId8"/>
    <sheet name="拧紧Array参数" sheetId="13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7" l="1"/>
  <c r="D47" i="7"/>
  <c r="D65" i="10"/>
  <c r="M65" i="10"/>
  <c r="D64" i="10"/>
  <c r="D63" i="10"/>
  <c r="M63" i="10"/>
  <c r="M64" i="10" s="1"/>
  <c r="M6" i="10"/>
  <c r="M5" i="10"/>
  <c r="M9" i="10" s="1"/>
  <c r="M10" i="10" s="1"/>
  <c r="M11" i="10" s="1"/>
  <c r="M14" i="10" s="1"/>
  <c r="M15" i="10" s="1"/>
  <c r="M16" i="10" s="1"/>
  <c r="M20" i="10" s="1"/>
  <c r="M21" i="10" s="1"/>
  <c r="M22" i="10" s="1"/>
  <c r="M26" i="10" s="1"/>
  <c r="M27" i="10" s="1"/>
  <c r="M28" i="10" s="1"/>
  <c r="M7" i="5"/>
  <c r="M7" i="6"/>
  <c r="M8" i="6" s="1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M60" i="6" s="1"/>
  <c r="M61" i="6" s="1"/>
  <c r="M62" i="6" s="1"/>
  <c r="M7" i="7"/>
  <c r="M8" i="7" s="1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M7" i="8"/>
  <c r="M7" i="11"/>
  <c r="M8" i="11" s="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D61" i="8"/>
  <c r="D58" i="8"/>
  <c r="D57" i="8"/>
  <c r="D46" i="1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D60" i="6"/>
  <c r="D61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M8" i="8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M61" i="8" s="1"/>
  <c r="M62" i="8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9" i="5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0" i="5" s="1"/>
  <c r="D61" i="5" s="1"/>
  <c r="M8" i="5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M60" i="5" s="1"/>
  <c r="M61" i="5" s="1"/>
  <c r="M62" i="5" s="1"/>
  <c r="D8" i="5"/>
  <c r="D10" i="10"/>
  <c r="D11" i="10" s="1"/>
  <c r="D14" i="10" s="1"/>
  <c r="D15" i="10" s="1"/>
  <c r="D16" i="10" s="1"/>
  <c r="D17" i="10" s="1"/>
  <c r="D20" i="10" s="1"/>
  <c r="D21" i="10" s="1"/>
  <c r="D22" i="10" s="1"/>
  <c r="D23" i="10" s="1"/>
  <c r="D26" i="10" s="1"/>
  <c r="D27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7" i="10" s="1"/>
  <c r="M29" i="10" l="1"/>
  <c r="M30" i="10" s="1"/>
  <c r="M33" i="10" s="1"/>
  <c r="M34" i="10" s="1"/>
  <c r="M35" i="10" s="1"/>
  <c r="M47" i="10" s="1"/>
  <c r="M48" i="10" s="1"/>
  <c r="M49" i="10" s="1"/>
  <c r="D62" i="8"/>
  <c r="D48" i="10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</calcChain>
</file>

<file path=xl/sharedStrings.xml><?xml version="1.0" encoding="utf-8"?>
<sst xmlns="http://schemas.openxmlformats.org/spreadsheetml/2006/main" count="1223" uniqueCount="157">
  <si>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</si>
  <si>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</si>
  <si>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</si>
  <si>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</si>
  <si>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</si>
  <si>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</si>
  <si>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</si>
  <si>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</si>
  <si>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</si>
  <si>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</si>
  <si>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</si>
  <si>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</si>
  <si>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</si>
  <si>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</si>
  <si>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</si>
  <si>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</si>
  <si>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</si>
  <si>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</si>
  <si>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</si>
  <si>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</si>
  <si>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</si>
  <si>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</si>
  <si>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</si>
  <si>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</si>
  <si>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</si>
  <si>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</si>
  <si>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</si>
  <si>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</si>
  <si>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</si>
  <si>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</si>
  <si>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</si>
  <si>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</si>
  <si>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</si>
  <si>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</si>
  <si>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</si>
  <si>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</si>
  <si>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</si>
  <si>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</si>
  <si>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</si>
  <si>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</si>
  <si>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</si>
  <si>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</si>
  <si>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</si>
  <si>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</si>
  <si>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</si>
  <si>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</si>
  <si>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</si>
  <si>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</si>
  <si>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</si>
  <si>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</si>
  <si>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</si>
  <si>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</si>
  <si>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</si>
  <si>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</si>
  <si>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</si>
  <si>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</si>
  <si>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</si>
  <si>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</si>
  <si>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</si>
  <si>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</si>
  <si>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</si>
  <si>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</si>
  <si>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</si>
  <si>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</si>
  <si>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</si>
  <si>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</si>
  <si>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</si>
  <si>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</si>
  <si>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</si>
  <si>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</si>
  <si>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</si>
  <si>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</si>
  <si>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</si>
  <si>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</si>
  <si>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</si>
  <si>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</si>
  <si>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</si>
  <si>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</si>
  <si>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</si>
  <si>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</si>
  <si>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</si>
  <si>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</si>
  <si>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</si>
  <si>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</si>
  <si>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过程参数9</t>
    <phoneticPr fontId="1" type="noConversion"/>
  </si>
  <si>
    <t>预留72个字节</t>
    <phoneticPr fontId="1" type="noConversion"/>
  </si>
  <si>
    <t>预留46个字节</t>
    <phoneticPr fontId="1" type="noConversion"/>
  </si>
  <si>
    <t>预留96个字节</t>
    <phoneticPr fontId="1" type="noConversion"/>
  </si>
  <si>
    <t>预留98个字节</t>
    <phoneticPr fontId="1" type="noConversion"/>
  </si>
  <si>
    <t>预留58个字节</t>
    <phoneticPr fontId="1" type="noConversion"/>
  </si>
  <si>
    <t>预留70个字节</t>
    <phoneticPr fontId="1" type="noConversion"/>
  </si>
  <si>
    <t>预留120个字节</t>
    <phoneticPr fontId="1" type="noConversion"/>
  </si>
  <si>
    <t>Array[0...200] of Real</t>
    <phoneticPr fontId="1" type="noConversion"/>
  </si>
  <si>
    <t>预留196个字节</t>
    <phoneticPr fontId="1" type="noConversion"/>
  </si>
  <si>
    <t>首件数据收集8</t>
    <phoneticPr fontId="1" type="noConversion"/>
  </si>
  <si>
    <t>获取参数</t>
    <phoneticPr fontId="1" type="noConversion"/>
  </si>
  <si>
    <t>TJKSSJ</t>
    <phoneticPr fontId="1" type="noConversion"/>
  </si>
  <si>
    <t>获取涂胶开始时间</t>
    <phoneticPr fontId="1" type="noConversion"/>
  </si>
  <si>
    <t>校验涂胶超时</t>
    <phoneticPr fontId="1" type="noConversion"/>
  </si>
  <si>
    <t>ResultOK</t>
    <phoneticPr fontId="1" type="noConversion"/>
  </si>
  <si>
    <t>OrderNo</t>
    <phoneticPr fontId="1" type="noConversion"/>
  </si>
  <si>
    <t>TorqueResult</t>
    <phoneticPr fontId="1" type="noConversion"/>
  </si>
  <si>
    <t>AngleResult</t>
    <phoneticPr fontId="1" type="noConversion"/>
  </si>
  <si>
    <t>Int</t>
    <phoneticPr fontId="1" type="noConversion"/>
  </si>
  <si>
    <t>Real</t>
    <phoneticPr fontId="1" type="noConversion"/>
  </si>
  <si>
    <t>拧紧结果数组</t>
    <phoneticPr fontId="1" type="noConversion"/>
  </si>
  <si>
    <t>TJGCCS</t>
    <phoneticPr fontId="1" type="noConversion"/>
  </si>
  <si>
    <t>NJJG</t>
    <phoneticPr fontId="1" type="noConversion"/>
  </si>
  <si>
    <t>说明</t>
    <phoneticPr fontId="1" type="noConversion"/>
  </si>
  <si>
    <t>拧紧结果</t>
    <phoneticPr fontId="1" type="noConversion"/>
  </si>
  <si>
    <t>螺丝序号</t>
    <phoneticPr fontId="1" type="noConversion"/>
  </si>
  <si>
    <t>扭矩结果</t>
    <phoneticPr fontId="1" type="noConversion"/>
  </si>
  <si>
    <t>角度结果</t>
    <phoneticPr fontId="1" type="noConversion"/>
  </si>
  <si>
    <t>ProgramNo</t>
    <phoneticPr fontId="1" type="noConversion"/>
  </si>
  <si>
    <t>程序号</t>
    <phoneticPr fontId="1" type="noConversion"/>
  </si>
  <si>
    <t>预留100个字节</t>
    <phoneticPr fontId="1" type="noConversion"/>
  </si>
  <si>
    <t>版本号</t>
    <phoneticPr fontId="1" type="noConversion"/>
  </si>
  <si>
    <t>修订说明</t>
    <phoneticPr fontId="1" type="noConversion"/>
  </si>
  <si>
    <t>v1.0</t>
    <phoneticPr fontId="1" type="noConversion"/>
  </si>
  <si>
    <t>初始版</t>
    <phoneticPr fontId="1" type="noConversion"/>
  </si>
  <si>
    <t>v1.1</t>
  </si>
  <si>
    <t>应客户要求，将PLC和上位机的交互DB地址由2个DB合并为1个DB</t>
    <phoneticPr fontId="1" type="noConversion"/>
  </si>
  <si>
    <t>暂定PLC和上位机的DB地址都为200；PLC的点位从0开始至4000结束，上位机的点位从4000开始至8000结束</t>
    <phoneticPr fontId="1" type="noConversion"/>
  </si>
  <si>
    <t>预留100个字节</t>
    <phoneticPr fontId="1" type="noConversion"/>
  </si>
  <si>
    <t>Array[0…150] of 拧紧Array参数</t>
    <phoneticPr fontId="1" type="noConversion"/>
  </si>
  <si>
    <t>Array[0…30] of 拧紧Array参数</t>
    <phoneticPr fontId="1" type="noConversion"/>
  </si>
  <si>
    <t>Bool</t>
    <phoneticPr fontId="1" type="noConversion"/>
  </si>
  <si>
    <t>申请打印条码</t>
    <phoneticPr fontId="1" type="noConversion"/>
  </si>
  <si>
    <t>Code1</t>
    <phoneticPr fontId="1" type="noConversion"/>
  </si>
  <si>
    <t>Code2</t>
    <phoneticPr fontId="1" type="noConversion"/>
  </si>
  <si>
    <t>预留44个字节</t>
    <phoneticPr fontId="1" type="noConversion"/>
  </si>
  <si>
    <t>打印机1状态，True为报警，默认为False</t>
    <phoneticPr fontId="1" type="noConversion"/>
  </si>
  <si>
    <t>PrintAlarm1</t>
    <phoneticPr fontId="1" type="noConversion"/>
  </si>
  <si>
    <t>PrintAlarm2</t>
    <phoneticPr fontId="1" type="noConversion"/>
  </si>
  <si>
    <t>需要打印的条码String[24]实际占位26个字节）</t>
    <phoneticPr fontId="1" type="noConversion"/>
  </si>
  <si>
    <t>v1.2</t>
    <phoneticPr fontId="1" type="noConversion"/>
  </si>
  <si>
    <t>PrintNo</t>
    <phoneticPr fontId="1" type="noConversion"/>
  </si>
  <si>
    <t>出条码的打印机号</t>
    <phoneticPr fontId="1" type="noConversion"/>
  </si>
  <si>
    <t>下箱体上线：</t>
    <phoneticPr fontId="1" type="noConversion"/>
  </si>
  <si>
    <t>增加打印机1，2的报警状态；</t>
    <phoneticPr fontId="1" type="noConversion"/>
  </si>
  <si>
    <t>申请SFC上位机由1个条码增加至2个条码；</t>
    <phoneticPr fontId="1" type="noConversion"/>
  </si>
  <si>
    <t>Int</t>
    <phoneticPr fontId="1" type="noConversion"/>
  </si>
  <si>
    <t>TemplateNo</t>
    <phoneticPr fontId="1" type="noConversion"/>
  </si>
  <si>
    <t>打印机的模板号</t>
    <phoneticPr fontId="1" type="noConversion"/>
  </si>
  <si>
    <t>增加申请打印条码请求；PLC给出条码和打印模板号同时给出申请打印条码请求，上位机调用打印机进行打印，并反馈出条码的打印机号</t>
    <phoneticPr fontId="1" type="noConversion"/>
  </si>
  <si>
    <t>v1.3</t>
    <phoneticPr fontId="1" type="noConversion"/>
  </si>
  <si>
    <t>肩部涂胶：</t>
    <phoneticPr fontId="1" type="noConversion"/>
  </si>
  <si>
    <t>Array[0...20] of 肩部涂胶Array参数</t>
    <phoneticPr fontId="1" type="noConversion"/>
  </si>
  <si>
    <t>GCCS</t>
    <phoneticPr fontId="1" type="noConversion"/>
  </si>
  <si>
    <t>A胶流量</t>
  </si>
  <si>
    <t>A胶流量</t>
    <phoneticPr fontId="1" type="noConversion"/>
  </si>
  <si>
    <t>B胶流量</t>
    <phoneticPr fontId="1" type="noConversion"/>
  </si>
  <si>
    <t>AB胶比例</t>
    <phoneticPr fontId="1" type="noConversion"/>
  </si>
  <si>
    <t>预留40个字节</t>
    <phoneticPr fontId="1" type="noConversion"/>
  </si>
  <si>
    <t>过程参数收集参数类型修改为肩部涂胶Array参数</t>
    <phoneticPr fontId="1" type="noConversion"/>
  </si>
  <si>
    <t>数量由原来的10个变为20组肩部涂胶Array参数(相当于80个参数)</t>
    <phoneticPr fontId="1" type="noConversion"/>
  </si>
  <si>
    <t>AB胶总胶重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</si>
</sst>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6" borderId="0" xfId="2" applyAlignment="1"/>
    <xf numFmtId="0" fontId="4" fillId="5" borderId="0" xfId="1" applyAlignment="1"/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590D-C680-4844-A873-8FD53D581C2F}">
  <dimension ref="C3:D13"/>
  <sheetViews>
    <sheetView workbookViewId="0">
      <selection activeCell="D18" sqref="D18"/>
    </sheetView>
  </sheetViews>
  <sheetFormatPr defaultRowHeight="14.25" x14ac:dyDescent="0.2"/>
  <cols>
    <col min="4" max="4" width="124.5" bestFit="1" customWidth="1"/>
  </cols>
  <sheetData>
    <row r="3" spans="3:4" x14ac:dyDescent="0.2">
      <c r="C3" t="s">
        <v>116</v>
      </c>
      <c r="D3" t="s">
        <v>117</v>
      </c>
    </row>
    <row r="4" spans="3:4" x14ac:dyDescent="0.2">
      <c r="C4" t="s">
        <v>118</v>
      </c>
      <c r="D4" t="s">
        <v>119</v>
      </c>
    </row>
    <row r="5" spans="3:4" x14ac:dyDescent="0.2">
      <c r="C5" t="s">
        <v>120</v>
      </c>
      <c r="D5" t="s">
        <v>121</v>
      </c>
    </row>
    <row r="6" spans="3:4" x14ac:dyDescent="0.2">
      <c r="D6" t="s">
        <v>122</v>
      </c>
    </row>
    <row r="7" spans="3:4" x14ac:dyDescent="0.2">
      <c r="C7" t="s">
        <v>135</v>
      </c>
      <c r="D7" t="s">
        <v>138</v>
      </c>
    </row>
    <row r="8" spans="3:4" x14ac:dyDescent="0.2">
      <c r="D8" t="s">
        <v>140</v>
      </c>
    </row>
    <row r="9" spans="3:4" x14ac:dyDescent="0.2">
      <c r="D9" t="s">
        <v>144</v>
      </c>
    </row>
    <row r="10" spans="3:4" x14ac:dyDescent="0.2">
      <c r="D10" t="s">
        <v>139</v>
      </c>
    </row>
    <row r="11" spans="3:4" x14ac:dyDescent="0.2">
      <c r="C11" t="s">
        <v>145</v>
      </c>
      <c r="D11" t="s">
        <v>146</v>
      </c>
    </row>
    <row r="12" spans="3:4" x14ac:dyDescent="0.2">
      <c r="D12" t="s">
        <v>154</v>
      </c>
    </row>
    <row r="13" spans="3:4" x14ac:dyDescent="0.2">
      <c r="D13" t="s">
        <v>155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66"/>
  <sheetViews>
    <sheetView topLeftCell="A36" zoomScaleNormal="100" workbookViewId="0">
      <selection activeCell="F67" sqref="F6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I5" s="6"/>
      <c r="K5" t="s">
        <v>132</v>
      </c>
      <c r="L5" t="s">
        <v>126</v>
      </c>
      <c r="M5">
        <f>M4+2</f>
        <v>4002</v>
      </c>
      <c r="O5" t="s">
        <v>131</v>
      </c>
    </row>
    <row r="6" spans="1:17" ht="14.25" customHeight="1" x14ac:dyDescent="0.2">
      <c r="I6" s="6"/>
      <c r="K6" t="s">
        <v>133</v>
      </c>
      <c r="L6" t="s">
        <v>126</v>
      </c>
      <c r="M6">
        <f>M5+2</f>
        <v>4004</v>
      </c>
      <c r="O6" t="s">
        <v>131</v>
      </c>
    </row>
    <row r="7" spans="1:17" ht="14.25" customHeight="1" x14ac:dyDescent="0.2">
      <c r="A7" s="16" t="s">
        <v>0</v>
      </c>
      <c r="B7" s="17"/>
      <c r="C7" s="17"/>
      <c r="D7" s="17"/>
      <c r="E7" s="17"/>
      <c r="F7" s="17"/>
      <c r="G7" s="17"/>
      <c r="H7" s="18"/>
      <c r="I7" s="7" t="s">
        <v>40</v>
      </c>
      <c r="J7" s="10" t="s">
        <v>1</v>
      </c>
      <c r="K7" s="11"/>
      <c r="L7" s="11"/>
      <c r="M7" s="11"/>
      <c r="N7" s="11"/>
      <c r="O7" s="11"/>
      <c r="P7" s="11"/>
      <c r="Q7" s="12"/>
    </row>
    <row r="8" spans="1:17" ht="14.25" customHeight="1" x14ac:dyDescent="0.2">
      <c r="A8" s="19"/>
      <c r="B8" s="20"/>
      <c r="C8" s="20"/>
      <c r="D8" s="20"/>
      <c r="E8" s="20"/>
      <c r="F8" s="20"/>
      <c r="G8" s="20"/>
      <c r="H8" s="21"/>
      <c r="I8" s="8"/>
      <c r="J8" s="13"/>
      <c r="K8" s="14"/>
      <c r="L8" s="14"/>
      <c r="M8" s="14"/>
      <c r="N8" s="14"/>
      <c r="O8" s="14"/>
      <c r="P8" s="14"/>
      <c r="Q8" s="15"/>
    </row>
    <row r="9" spans="1:17" ht="14.25" customHeight="1" x14ac:dyDescent="0.2">
      <c r="B9" t="s">
        <v>24</v>
      </c>
      <c r="C9" t="s">
        <v>2</v>
      </c>
      <c r="D9">
        <v>100</v>
      </c>
      <c r="F9" t="s">
        <v>73</v>
      </c>
      <c r="I9" s="8"/>
      <c r="K9" t="s">
        <v>14</v>
      </c>
      <c r="L9" t="s">
        <v>2</v>
      </c>
      <c r="M9">
        <f>M5+98</f>
        <v>4100</v>
      </c>
      <c r="N9">
        <v>0</v>
      </c>
      <c r="O9" t="s">
        <v>74</v>
      </c>
    </row>
    <row r="10" spans="1:17" ht="14.25" customHeight="1" x14ac:dyDescent="0.2">
      <c r="B10" t="s">
        <v>5</v>
      </c>
      <c r="C10" t="s">
        <v>4</v>
      </c>
      <c r="D10">
        <f>D9+2</f>
        <v>102</v>
      </c>
      <c r="F10" t="s">
        <v>80</v>
      </c>
      <c r="I10" s="8"/>
      <c r="K10" t="s">
        <v>16</v>
      </c>
      <c r="L10" t="s">
        <v>17</v>
      </c>
      <c r="M10">
        <f>M9+2</f>
        <v>4102</v>
      </c>
      <c r="O10" t="s">
        <v>75</v>
      </c>
    </row>
    <row r="11" spans="1:17" ht="14.25" customHeight="1" x14ac:dyDescent="0.2">
      <c r="B11" t="s">
        <v>85</v>
      </c>
      <c r="D11">
        <f>D10+26</f>
        <v>128</v>
      </c>
      <c r="I11" s="9"/>
      <c r="K11" t="s">
        <v>87</v>
      </c>
      <c r="M11">
        <f>M10+2</f>
        <v>4104</v>
      </c>
    </row>
    <row r="12" spans="1:17" ht="14.25" customHeight="1" x14ac:dyDescent="0.2">
      <c r="A12" s="16" t="s">
        <v>0</v>
      </c>
      <c r="B12" s="17"/>
      <c r="C12" s="17"/>
      <c r="D12" s="17"/>
      <c r="E12" s="17"/>
      <c r="F12" s="17"/>
      <c r="G12" s="17"/>
      <c r="H12" s="18"/>
      <c r="I12" s="7" t="s">
        <v>76</v>
      </c>
      <c r="J12" s="10" t="s">
        <v>1</v>
      </c>
      <c r="K12" s="11"/>
      <c r="L12" s="11"/>
      <c r="M12" s="11"/>
      <c r="N12" s="11"/>
      <c r="O12" s="11"/>
      <c r="P12" s="11"/>
      <c r="Q12" s="12"/>
    </row>
    <row r="13" spans="1:17" ht="14.25" customHeight="1" x14ac:dyDescent="0.2">
      <c r="A13" s="19"/>
      <c r="B13" s="20"/>
      <c r="C13" s="20"/>
      <c r="D13" s="20"/>
      <c r="E13" s="20"/>
      <c r="F13" s="20"/>
      <c r="G13" s="20"/>
      <c r="H13" s="21"/>
      <c r="I13" s="8"/>
      <c r="J13" s="13"/>
      <c r="K13" s="14"/>
      <c r="L13" s="14"/>
      <c r="M13" s="14"/>
      <c r="N13" s="14"/>
      <c r="O13" s="14"/>
      <c r="P13" s="14"/>
      <c r="Q13" s="15"/>
    </row>
    <row r="14" spans="1:17" ht="14.25" customHeight="1" x14ac:dyDescent="0.2">
      <c r="B14" t="s">
        <v>24</v>
      </c>
      <c r="C14" t="s">
        <v>2</v>
      </c>
      <c r="D14">
        <f>D11+72</f>
        <v>200</v>
      </c>
      <c r="F14" t="s">
        <v>3</v>
      </c>
      <c r="I14" s="8"/>
      <c r="K14" t="s">
        <v>14</v>
      </c>
      <c r="L14" t="s">
        <v>2</v>
      </c>
      <c r="M14">
        <f>M11+96</f>
        <v>4200</v>
      </c>
      <c r="O14" t="s">
        <v>15</v>
      </c>
    </row>
    <row r="15" spans="1:17" ht="14.25" customHeight="1" x14ac:dyDescent="0.2">
      <c r="B15" t="s">
        <v>5</v>
      </c>
      <c r="C15" t="s">
        <v>4</v>
      </c>
      <c r="D15">
        <f>D14+2</f>
        <v>202</v>
      </c>
      <c r="F15" t="s">
        <v>80</v>
      </c>
      <c r="I15" s="8"/>
      <c r="K15" t="s">
        <v>16</v>
      </c>
      <c r="L15" t="s">
        <v>17</v>
      </c>
      <c r="M15">
        <f>M14+2</f>
        <v>4202</v>
      </c>
      <c r="O15" t="s">
        <v>18</v>
      </c>
    </row>
    <row r="16" spans="1:17" ht="14.25" customHeight="1" x14ac:dyDescent="0.2">
      <c r="B16" t="s">
        <v>78</v>
      </c>
      <c r="C16" t="s">
        <v>4</v>
      </c>
      <c r="D16">
        <f>D15+26</f>
        <v>228</v>
      </c>
      <c r="F16" t="s">
        <v>81</v>
      </c>
      <c r="I16" s="8"/>
      <c r="K16" t="s">
        <v>87</v>
      </c>
      <c r="M16">
        <f>M15+2</f>
        <v>4204</v>
      </c>
    </row>
    <row r="17" spans="1:17" ht="14.25" customHeight="1" x14ac:dyDescent="0.2">
      <c r="B17" t="s">
        <v>86</v>
      </c>
      <c r="D17">
        <f>D16+26</f>
        <v>254</v>
      </c>
      <c r="I17" s="9"/>
    </row>
    <row r="18" spans="1:17" ht="14.25" customHeight="1" x14ac:dyDescent="0.2">
      <c r="A18" s="16" t="s">
        <v>0</v>
      </c>
      <c r="B18" s="17"/>
      <c r="C18" s="17"/>
      <c r="D18" s="17"/>
      <c r="E18" s="17"/>
      <c r="F18" s="17"/>
      <c r="G18" s="17"/>
      <c r="H18" s="18"/>
      <c r="I18" s="7" t="s">
        <v>60</v>
      </c>
      <c r="J18" s="10" t="s">
        <v>1</v>
      </c>
      <c r="K18" s="11"/>
      <c r="L18" s="11"/>
      <c r="M18" s="11"/>
      <c r="N18" s="11"/>
      <c r="O18" s="11"/>
      <c r="P18" s="11"/>
      <c r="Q18" s="12"/>
    </row>
    <row r="19" spans="1:17" ht="14.25" customHeight="1" x14ac:dyDescent="0.2">
      <c r="A19" s="19"/>
      <c r="B19" s="20"/>
      <c r="C19" s="20"/>
      <c r="D19" s="20"/>
      <c r="E19" s="20"/>
      <c r="F19" s="20"/>
      <c r="G19" s="20"/>
      <c r="H19" s="21"/>
      <c r="I19" s="8"/>
      <c r="J19" s="13"/>
      <c r="K19" s="14"/>
      <c r="L19" s="14"/>
      <c r="M19" s="14"/>
      <c r="N19" s="14"/>
      <c r="O19" s="14"/>
      <c r="P19" s="14"/>
      <c r="Q19" s="15"/>
    </row>
    <row r="20" spans="1:17" ht="14.25" customHeight="1" x14ac:dyDescent="0.2">
      <c r="B20" t="s">
        <v>24</v>
      </c>
      <c r="C20" t="s">
        <v>2</v>
      </c>
      <c r="D20">
        <f>D17+46</f>
        <v>300</v>
      </c>
      <c r="F20" t="s">
        <v>3</v>
      </c>
      <c r="I20" s="8"/>
      <c r="K20" t="s">
        <v>14</v>
      </c>
      <c r="L20" t="s">
        <v>2</v>
      </c>
      <c r="M20">
        <f>M16+96</f>
        <v>4300</v>
      </c>
      <c r="O20" t="s">
        <v>15</v>
      </c>
    </row>
    <row r="21" spans="1:17" ht="14.25" customHeight="1" x14ac:dyDescent="0.2">
      <c r="B21" t="s">
        <v>5</v>
      </c>
      <c r="C21" t="s">
        <v>4</v>
      </c>
      <c r="D21">
        <f>D20+2</f>
        <v>302</v>
      </c>
      <c r="F21" t="s">
        <v>39</v>
      </c>
      <c r="I21" s="8"/>
      <c r="K21" t="s">
        <v>16</v>
      </c>
      <c r="L21" t="s">
        <v>17</v>
      </c>
      <c r="M21">
        <f>M20+2</f>
        <v>4302</v>
      </c>
      <c r="O21" t="s">
        <v>18</v>
      </c>
    </row>
    <row r="22" spans="1:17" ht="14.25" customHeight="1" x14ac:dyDescent="0.2">
      <c r="B22" t="s">
        <v>77</v>
      </c>
      <c r="C22" t="s">
        <v>4</v>
      </c>
      <c r="D22">
        <f>D21+26</f>
        <v>328</v>
      </c>
      <c r="F22" t="s">
        <v>61</v>
      </c>
      <c r="I22" s="8"/>
      <c r="K22" t="s">
        <v>87</v>
      </c>
      <c r="M22">
        <f>M21+2</f>
        <v>4304</v>
      </c>
    </row>
    <row r="23" spans="1:17" ht="14.25" customHeight="1" x14ac:dyDescent="0.2">
      <c r="B23" t="s">
        <v>86</v>
      </c>
      <c r="D23">
        <f>D22+26</f>
        <v>354</v>
      </c>
      <c r="I23" s="9"/>
    </row>
    <row r="24" spans="1:17" ht="14.25" customHeight="1" x14ac:dyDescent="0.2">
      <c r="A24" s="16" t="s">
        <v>0</v>
      </c>
      <c r="B24" s="17"/>
      <c r="C24" s="17"/>
      <c r="D24" s="17"/>
      <c r="E24" s="17"/>
      <c r="F24" s="17"/>
      <c r="G24" s="17"/>
      <c r="H24" s="18"/>
      <c r="I24" s="7" t="s">
        <v>82</v>
      </c>
      <c r="J24" s="10" t="s">
        <v>1</v>
      </c>
      <c r="K24" s="11"/>
      <c r="L24" s="11"/>
      <c r="M24" s="11"/>
      <c r="N24" s="11"/>
      <c r="O24" s="11"/>
      <c r="P24" s="11"/>
      <c r="Q24" s="12"/>
    </row>
    <row r="25" spans="1:17" ht="14.25" customHeight="1" x14ac:dyDescent="0.2">
      <c r="A25" s="19"/>
      <c r="B25" s="20"/>
      <c r="C25" s="20"/>
      <c r="D25" s="20"/>
      <c r="E25" s="20"/>
      <c r="F25" s="20"/>
      <c r="G25" s="20"/>
      <c r="H25" s="21"/>
      <c r="I25" s="8"/>
      <c r="J25" s="13"/>
      <c r="K25" s="14"/>
      <c r="L25" s="14"/>
      <c r="M25" s="14"/>
      <c r="N25" s="14"/>
      <c r="O25" s="14"/>
      <c r="P25" s="14"/>
      <c r="Q25" s="15"/>
    </row>
    <row r="26" spans="1:17" ht="14.25" customHeight="1" x14ac:dyDescent="0.2">
      <c r="B26" t="s">
        <v>24</v>
      </c>
      <c r="C26" t="s">
        <v>2</v>
      </c>
      <c r="D26">
        <f>D23+46</f>
        <v>400</v>
      </c>
      <c r="F26" t="s">
        <v>3</v>
      </c>
      <c r="I26" s="8"/>
      <c r="K26" t="s">
        <v>14</v>
      </c>
      <c r="L26" t="s">
        <v>2</v>
      </c>
      <c r="M26">
        <f>M22+96</f>
        <v>4400</v>
      </c>
      <c r="O26" t="s">
        <v>15</v>
      </c>
    </row>
    <row r="27" spans="1:17" ht="14.25" customHeight="1" x14ac:dyDescent="0.2">
      <c r="B27" t="s">
        <v>88</v>
      </c>
      <c r="D27">
        <f>D26+2</f>
        <v>402</v>
      </c>
      <c r="I27" s="8"/>
      <c r="K27" t="s">
        <v>16</v>
      </c>
      <c r="L27" t="s">
        <v>17</v>
      </c>
      <c r="M27">
        <f>M26+2</f>
        <v>4402</v>
      </c>
      <c r="O27" t="s">
        <v>18</v>
      </c>
    </row>
    <row r="28" spans="1:17" ht="14.25" customHeight="1" x14ac:dyDescent="0.2">
      <c r="I28" s="8"/>
      <c r="K28" t="s">
        <v>128</v>
      </c>
      <c r="L28" t="s">
        <v>4</v>
      </c>
      <c r="M28">
        <f>M27+2</f>
        <v>4404</v>
      </c>
      <c r="O28" t="s">
        <v>83</v>
      </c>
    </row>
    <row r="29" spans="1:17" ht="14.25" customHeight="1" x14ac:dyDescent="0.2">
      <c r="I29" s="8"/>
      <c r="K29" t="s">
        <v>129</v>
      </c>
      <c r="L29" t="s">
        <v>4</v>
      </c>
      <c r="M29">
        <f>M28+26</f>
        <v>4430</v>
      </c>
      <c r="O29" t="s">
        <v>83</v>
      </c>
    </row>
    <row r="30" spans="1:17" ht="14.25" customHeight="1" x14ac:dyDescent="0.2">
      <c r="I30" s="9"/>
      <c r="K30" t="s">
        <v>130</v>
      </c>
      <c r="M30">
        <f>M29+26</f>
        <v>4456</v>
      </c>
    </row>
    <row r="31" spans="1:17" ht="14.25" customHeight="1" x14ac:dyDescent="0.2">
      <c r="A31" s="16" t="s">
        <v>0</v>
      </c>
      <c r="B31" s="17"/>
      <c r="C31" s="17"/>
      <c r="D31" s="17"/>
      <c r="E31" s="17"/>
      <c r="F31" s="17"/>
      <c r="G31" s="17"/>
      <c r="H31" s="18"/>
      <c r="I31" s="7" t="s">
        <v>59</v>
      </c>
      <c r="J31" s="10" t="s">
        <v>1</v>
      </c>
      <c r="K31" s="11"/>
      <c r="L31" s="11"/>
      <c r="M31" s="11"/>
      <c r="N31" s="11"/>
      <c r="O31" s="11"/>
      <c r="P31" s="11"/>
      <c r="Q31" s="12"/>
    </row>
    <row r="32" spans="1:17" ht="14.25" customHeight="1" x14ac:dyDescent="0.2">
      <c r="A32" s="19"/>
      <c r="B32" s="20"/>
      <c r="C32" s="20"/>
      <c r="D32" s="20"/>
      <c r="E32" s="20"/>
      <c r="F32" s="20"/>
      <c r="G32" s="20"/>
      <c r="H32" s="21"/>
      <c r="I32" s="8"/>
      <c r="J32" s="13"/>
      <c r="K32" s="14"/>
      <c r="L32" s="14"/>
      <c r="M32" s="14"/>
      <c r="N32" s="14"/>
      <c r="O32" s="14"/>
      <c r="P32" s="14"/>
      <c r="Q32" s="15"/>
    </row>
    <row r="33" spans="1:17" ht="14.25" customHeight="1" x14ac:dyDescent="0.2">
      <c r="B33" t="s">
        <v>24</v>
      </c>
      <c r="C33" t="s">
        <v>2</v>
      </c>
      <c r="D33">
        <f>D27+98</f>
        <v>500</v>
      </c>
      <c r="F33" t="s">
        <v>3</v>
      </c>
      <c r="I33" s="8"/>
      <c r="K33" t="s">
        <v>14</v>
      </c>
      <c r="L33" t="s">
        <v>2</v>
      </c>
      <c r="M33">
        <f>M30+44</f>
        <v>4500</v>
      </c>
      <c r="O33" t="s">
        <v>15</v>
      </c>
    </row>
    <row r="34" spans="1:17" ht="14.25" customHeight="1" x14ac:dyDescent="0.2">
      <c r="B34" t="s">
        <v>27</v>
      </c>
      <c r="C34" t="s">
        <v>19</v>
      </c>
      <c r="D34">
        <f>D33+2</f>
        <v>502</v>
      </c>
      <c r="F34" t="s">
        <v>33</v>
      </c>
      <c r="I34" s="8"/>
      <c r="K34" t="s">
        <v>16</v>
      </c>
      <c r="L34" t="s">
        <v>17</v>
      </c>
      <c r="M34">
        <f>M33+2</f>
        <v>4502</v>
      </c>
      <c r="O34" t="s">
        <v>18</v>
      </c>
    </row>
    <row r="35" spans="1:17" ht="14.25" customHeight="1" x14ac:dyDescent="0.2">
      <c r="B35" t="s">
        <v>28</v>
      </c>
      <c r="C35" t="s">
        <v>19</v>
      </c>
      <c r="D35">
        <f>D34+4</f>
        <v>506</v>
      </c>
      <c r="F35" t="s">
        <v>34</v>
      </c>
      <c r="I35" s="8"/>
      <c r="K35" t="s">
        <v>87</v>
      </c>
      <c r="M35">
        <f>M34+2</f>
        <v>4504</v>
      </c>
    </row>
    <row r="36" spans="1:17" ht="14.25" customHeight="1" x14ac:dyDescent="0.2">
      <c r="B36" t="s">
        <v>29</v>
      </c>
      <c r="C36" t="s">
        <v>19</v>
      </c>
      <c r="D36">
        <f t="shared" ref="D36:D43" si="0">D35+4</f>
        <v>510</v>
      </c>
      <c r="F36" t="s">
        <v>35</v>
      </c>
      <c r="I36" s="8"/>
    </row>
    <row r="37" spans="1:17" ht="14.25" customHeight="1" x14ac:dyDescent="0.2">
      <c r="B37" t="s">
        <v>30</v>
      </c>
      <c r="C37" t="s">
        <v>19</v>
      </c>
      <c r="D37">
        <f t="shared" si="0"/>
        <v>514</v>
      </c>
      <c r="F37" t="s">
        <v>36</v>
      </c>
      <c r="I37" s="8"/>
    </row>
    <row r="38" spans="1:17" ht="14.25" customHeight="1" x14ac:dyDescent="0.2">
      <c r="B38" t="s">
        <v>31</v>
      </c>
      <c r="C38" t="s">
        <v>19</v>
      </c>
      <c r="D38">
        <f t="shared" si="0"/>
        <v>518</v>
      </c>
      <c r="F38" t="s">
        <v>37</v>
      </c>
      <c r="I38" s="8"/>
    </row>
    <row r="39" spans="1:17" ht="14.25" customHeight="1" x14ac:dyDescent="0.2">
      <c r="B39" t="s">
        <v>32</v>
      </c>
      <c r="C39" t="s">
        <v>19</v>
      </c>
      <c r="D39">
        <f t="shared" si="0"/>
        <v>522</v>
      </c>
      <c r="F39" t="s">
        <v>38</v>
      </c>
      <c r="I39" s="8"/>
    </row>
    <row r="40" spans="1:17" ht="14.25" customHeight="1" x14ac:dyDescent="0.2">
      <c r="B40" t="s">
        <v>41</v>
      </c>
      <c r="C40" t="s">
        <v>19</v>
      </c>
      <c r="D40">
        <f t="shared" si="0"/>
        <v>526</v>
      </c>
      <c r="F40" t="s">
        <v>45</v>
      </c>
      <c r="I40" s="8"/>
    </row>
    <row r="41" spans="1:17" ht="14.25" customHeight="1" x14ac:dyDescent="0.2">
      <c r="B41" t="s">
        <v>42</v>
      </c>
      <c r="C41" t="s">
        <v>19</v>
      </c>
      <c r="D41">
        <f t="shared" si="0"/>
        <v>530</v>
      </c>
      <c r="F41" t="s">
        <v>94</v>
      </c>
      <c r="I41" s="8"/>
    </row>
    <row r="42" spans="1:17" ht="14.25" customHeight="1" x14ac:dyDescent="0.2">
      <c r="B42" t="s">
        <v>43</v>
      </c>
      <c r="C42" t="s">
        <v>19</v>
      </c>
      <c r="D42">
        <f t="shared" si="0"/>
        <v>534</v>
      </c>
      <c r="F42" t="s">
        <v>47</v>
      </c>
      <c r="I42" s="8"/>
    </row>
    <row r="43" spans="1:17" ht="14.25" customHeight="1" x14ac:dyDescent="0.2">
      <c r="B43" t="s">
        <v>44</v>
      </c>
      <c r="C43" t="s">
        <v>19</v>
      </c>
      <c r="D43">
        <f t="shared" si="0"/>
        <v>538</v>
      </c>
      <c r="F43" t="s">
        <v>48</v>
      </c>
      <c r="I43" s="8"/>
    </row>
    <row r="44" spans="1:17" ht="14.25" customHeight="1" x14ac:dyDescent="0.2">
      <c r="B44" t="s">
        <v>89</v>
      </c>
      <c r="D44">
        <f>D43+4</f>
        <v>542</v>
      </c>
      <c r="I44" s="9"/>
    </row>
    <row r="45" spans="1:17" ht="14.25" customHeight="1" x14ac:dyDescent="0.2">
      <c r="A45" s="16" t="s">
        <v>0</v>
      </c>
      <c r="B45" s="17"/>
      <c r="C45" s="17"/>
      <c r="D45" s="17"/>
      <c r="E45" s="17"/>
      <c r="F45" s="17"/>
      <c r="G45" s="17"/>
      <c r="H45" s="18"/>
      <c r="I45" s="7" t="s">
        <v>62</v>
      </c>
      <c r="J45" s="10" t="s">
        <v>1</v>
      </c>
      <c r="K45" s="11"/>
      <c r="L45" s="11"/>
      <c r="M45" s="11"/>
      <c r="N45" s="11"/>
      <c r="O45" s="11"/>
      <c r="P45" s="11"/>
      <c r="Q45" s="12"/>
    </row>
    <row r="46" spans="1:17" ht="14.25" customHeight="1" x14ac:dyDescent="0.2">
      <c r="A46" s="19"/>
      <c r="B46" s="20"/>
      <c r="C46" s="20"/>
      <c r="D46" s="20"/>
      <c r="E46" s="20"/>
      <c r="F46" s="20"/>
      <c r="G46" s="20"/>
      <c r="H46" s="21"/>
      <c r="I46" s="8"/>
      <c r="J46" s="13"/>
      <c r="K46" s="14"/>
      <c r="L46" s="14"/>
      <c r="M46" s="14"/>
      <c r="N46" s="14"/>
      <c r="O46" s="14"/>
      <c r="P46" s="14"/>
      <c r="Q46" s="15"/>
    </row>
    <row r="47" spans="1:17" ht="14.25" customHeight="1" x14ac:dyDescent="0.2">
      <c r="B47" t="s">
        <v>24</v>
      </c>
      <c r="C47" t="s">
        <v>2</v>
      </c>
      <c r="D47">
        <f>D44+58</f>
        <v>600</v>
      </c>
      <c r="F47" t="s">
        <v>3</v>
      </c>
      <c r="I47" s="8"/>
      <c r="K47" t="s">
        <v>14</v>
      </c>
      <c r="L47" t="s">
        <v>2</v>
      </c>
      <c r="M47">
        <f>M35+96</f>
        <v>4600</v>
      </c>
      <c r="O47" t="s">
        <v>15</v>
      </c>
    </row>
    <row r="48" spans="1:17" ht="14.25" customHeight="1" x14ac:dyDescent="0.2">
      <c r="B48" t="s">
        <v>5</v>
      </c>
      <c r="C48" t="s">
        <v>79</v>
      </c>
      <c r="D48">
        <f>D47+2</f>
        <v>602</v>
      </c>
      <c r="F48" t="s">
        <v>80</v>
      </c>
      <c r="I48" s="8"/>
      <c r="K48" t="s">
        <v>16</v>
      </c>
      <c r="L48" t="s">
        <v>17</v>
      </c>
      <c r="M48">
        <f>M47+2</f>
        <v>4602</v>
      </c>
      <c r="O48" t="s">
        <v>18</v>
      </c>
    </row>
    <row r="49" spans="1:17" ht="14.25" customHeight="1" x14ac:dyDescent="0.2">
      <c r="B49" t="s">
        <v>25</v>
      </c>
      <c r="C49" t="s">
        <v>26</v>
      </c>
      <c r="D49">
        <f>D48+26</f>
        <v>628</v>
      </c>
      <c r="F49" t="s">
        <v>55</v>
      </c>
      <c r="I49" s="8"/>
      <c r="K49" t="s">
        <v>93</v>
      </c>
      <c r="M49">
        <f>M48+2</f>
        <v>4604</v>
      </c>
    </row>
    <row r="50" spans="1:17" ht="14.25" customHeight="1" x14ac:dyDescent="0.2">
      <c r="B50" t="s">
        <v>63</v>
      </c>
      <c r="C50" t="s">
        <v>19</v>
      </c>
      <c r="D50">
        <f>D49+12</f>
        <v>640</v>
      </c>
      <c r="F50" t="s">
        <v>49</v>
      </c>
      <c r="I50" s="8"/>
    </row>
    <row r="51" spans="1:17" ht="14.25" customHeight="1" x14ac:dyDescent="0.2">
      <c r="B51" t="s">
        <v>64</v>
      </c>
      <c r="C51" t="s">
        <v>19</v>
      </c>
      <c r="D51">
        <f>D50+4</f>
        <v>644</v>
      </c>
      <c r="F51" t="s">
        <v>50</v>
      </c>
      <c r="I51" s="8"/>
    </row>
    <row r="52" spans="1:17" ht="14.25" customHeight="1" x14ac:dyDescent="0.2">
      <c r="B52" t="s">
        <v>65</v>
      </c>
      <c r="C52" t="s">
        <v>19</v>
      </c>
      <c r="D52">
        <f t="shared" ref="D52:D59" si="1">D51+4</f>
        <v>648</v>
      </c>
      <c r="F52" t="s">
        <v>51</v>
      </c>
      <c r="I52" s="8"/>
    </row>
    <row r="53" spans="1:17" ht="14.25" customHeight="1" x14ac:dyDescent="0.2">
      <c r="B53" t="s">
        <v>66</v>
      </c>
      <c r="C53" t="s">
        <v>19</v>
      </c>
      <c r="D53">
        <f t="shared" si="1"/>
        <v>652</v>
      </c>
      <c r="F53" t="s">
        <v>52</v>
      </c>
      <c r="I53" s="8"/>
    </row>
    <row r="54" spans="1:17" ht="14.25" customHeight="1" x14ac:dyDescent="0.2">
      <c r="B54" t="s">
        <v>67</v>
      </c>
      <c r="C54" t="s">
        <v>19</v>
      </c>
      <c r="D54">
        <f t="shared" si="1"/>
        <v>656</v>
      </c>
      <c r="F54" t="s">
        <v>53</v>
      </c>
      <c r="I54" s="8"/>
    </row>
    <row r="55" spans="1:17" ht="14.25" customHeight="1" x14ac:dyDescent="0.2">
      <c r="B55" t="s">
        <v>68</v>
      </c>
      <c r="C55" t="s">
        <v>19</v>
      </c>
      <c r="D55">
        <f t="shared" si="1"/>
        <v>660</v>
      </c>
      <c r="F55" t="s">
        <v>54</v>
      </c>
      <c r="I55" s="8"/>
    </row>
    <row r="56" spans="1:17" ht="14.25" customHeight="1" x14ac:dyDescent="0.2">
      <c r="B56" t="s">
        <v>69</v>
      </c>
      <c r="C56" t="s">
        <v>19</v>
      </c>
      <c r="D56">
        <f t="shared" si="1"/>
        <v>664</v>
      </c>
      <c r="F56" t="s">
        <v>56</v>
      </c>
      <c r="I56" s="8"/>
    </row>
    <row r="57" spans="1:17" ht="14.25" customHeight="1" x14ac:dyDescent="0.2">
      <c r="B57" t="s">
        <v>70</v>
      </c>
      <c r="C57" t="s">
        <v>19</v>
      </c>
      <c r="D57">
        <f t="shared" si="1"/>
        <v>668</v>
      </c>
      <c r="F57" t="s">
        <v>57</v>
      </c>
      <c r="I57" s="8"/>
    </row>
    <row r="58" spans="1:17" ht="14.25" customHeight="1" x14ac:dyDescent="0.2">
      <c r="B58" t="s">
        <v>71</v>
      </c>
      <c r="C58" t="s">
        <v>19</v>
      </c>
      <c r="D58">
        <f t="shared" si="1"/>
        <v>672</v>
      </c>
      <c r="F58" t="s">
        <v>84</v>
      </c>
      <c r="I58" s="8"/>
    </row>
    <row r="59" spans="1:17" ht="14.25" customHeight="1" x14ac:dyDescent="0.2">
      <c r="B59" t="s">
        <v>72</v>
      </c>
      <c r="C59" t="s">
        <v>19</v>
      </c>
      <c r="D59">
        <f t="shared" si="1"/>
        <v>676</v>
      </c>
      <c r="F59" t="s">
        <v>58</v>
      </c>
      <c r="I59" s="8"/>
    </row>
    <row r="60" spans="1:17" x14ac:dyDescent="0.2">
      <c r="B60" t="s">
        <v>91</v>
      </c>
      <c r="D60">
        <f>D59+4</f>
        <v>680</v>
      </c>
      <c r="I60" s="9"/>
    </row>
    <row r="61" spans="1:17" ht="14.25" customHeight="1" x14ac:dyDescent="0.2">
      <c r="A61" s="16" t="s">
        <v>0</v>
      </c>
      <c r="B61" s="17"/>
      <c r="C61" s="17"/>
      <c r="D61" s="17"/>
      <c r="E61" s="17"/>
      <c r="F61" s="17"/>
      <c r="G61" s="17"/>
      <c r="H61" s="18"/>
      <c r="I61" s="7" t="s">
        <v>127</v>
      </c>
      <c r="J61" s="10" t="s">
        <v>1</v>
      </c>
      <c r="K61" s="11"/>
      <c r="L61" s="11"/>
      <c r="M61" s="11"/>
      <c r="N61" s="11"/>
      <c r="O61" s="11"/>
      <c r="P61" s="11"/>
      <c r="Q61" s="12"/>
    </row>
    <row r="62" spans="1:17" ht="14.25" customHeight="1" x14ac:dyDescent="0.2">
      <c r="A62" s="19"/>
      <c r="B62" s="20"/>
      <c r="C62" s="20"/>
      <c r="D62" s="20"/>
      <c r="E62" s="20"/>
      <c r="F62" s="20"/>
      <c r="G62" s="20"/>
      <c r="H62" s="21"/>
      <c r="I62" s="8"/>
      <c r="J62" s="13"/>
      <c r="K62" s="14"/>
      <c r="L62" s="14"/>
      <c r="M62" s="14"/>
      <c r="N62" s="14"/>
      <c r="O62" s="14"/>
      <c r="P62" s="14"/>
      <c r="Q62" s="15"/>
    </row>
    <row r="63" spans="1:17" ht="14.25" customHeight="1" x14ac:dyDescent="0.2">
      <c r="B63" t="s">
        <v>24</v>
      </c>
      <c r="C63" t="s">
        <v>2</v>
      </c>
      <c r="D63">
        <f>D60+120</f>
        <v>800</v>
      </c>
      <c r="F63" t="s">
        <v>3</v>
      </c>
      <c r="I63" s="8"/>
      <c r="K63" t="s">
        <v>14</v>
      </c>
      <c r="L63" t="s">
        <v>2</v>
      </c>
      <c r="M63">
        <f>M49+196</f>
        <v>4800</v>
      </c>
      <c r="O63" t="s">
        <v>15</v>
      </c>
    </row>
    <row r="64" spans="1:17" ht="14.25" customHeight="1" x14ac:dyDescent="0.2">
      <c r="B64" t="s">
        <v>142</v>
      </c>
      <c r="C64" t="s">
        <v>141</v>
      </c>
      <c r="D64">
        <f>D63+2</f>
        <v>802</v>
      </c>
      <c r="F64" t="s">
        <v>143</v>
      </c>
      <c r="I64" s="8"/>
      <c r="K64" t="s">
        <v>16</v>
      </c>
      <c r="L64" t="s">
        <v>17</v>
      </c>
      <c r="M64">
        <f>M63+2</f>
        <v>4802</v>
      </c>
      <c r="O64" t="s">
        <v>18</v>
      </c>
    </row>
    <row r="65" spans="2:15" ht="14.25" customHeight="1" x14ac:dyDescent="0.2">
      <c r="B65" t="s">
        <v>78</v>
      </c>
      <c r="C65" t="s">
        <v>4</v>
      </c>
      <c r="D65">
        <f>D64+2</f>
        <v>804</v>
      </c>
      <c r="F65" t="s">
        <v>134</v>
      </c>
      <c r="I65" s="8"/>
      <c r="K65" t="s">
        <v>136</v>
      </c>
      <c r="L65" t="s">
        <v>17</v>
      </c>
      <c r="M65">
        <f>M64+2</f>
        <v>4804</v>
      </c>
      <c r="O65" t="s">
        <v>137</v>
      </c>
    </row>
    <row r="66" spans="2:15" ht="14.25" customHeight="1" x14ac:dyDescent="0.2">
      <c r="I66" s="9"/>
    </row>
  </sheetData>
  <mergeCells count="24">
    <mergeCell ref="A2:H3"/>
    <mergeCell ref="I2:I4"/>
    <mergeCell ref="J2:Q3"/>
    <mergeCell ref="A7:H8"/>
    <mergeCell ref="J7:Q8"/>
    <mergeCell ref="I7:I11"/>
    <mergeCell ref="I45:I60"/>
    <mergeCell ref="I31:I44"/>
    <mergeCell ref="A61:H62"/>
    <mergeCell ref="I61:I66"/>
    <mergeCell ref="J61:Q62"/>
    <mergeCell ref="A45:H46"/>
    <mergeCell ref="J45:Q46"/>
    <mergeCell ref="I18:I23"/>
    <mergeCell ref="I24:I30"/>
    <mergeCell ref="I12:I17"/>
    <mergeCell ref="J24:Q25"/>
    <mergeCell ref="A31:H32"/>
    <mergeCell ref="J31:Q32"/>
    <mergeCell ref="A18:H19"/>
    <mergeCell ref="J18:Q19"/>
    <mergeCell ref="A12:H13"/>
    <mergeCell ref="J12:Q13"/>
    <mergeCell ref="A24:H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opLeftCell="A43" zoomScaleNormal="100" workbookViewId="0">
      <selection activeCell="K62" sqref="K62:O62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16" t="s">
        <v>0</v>
      </c>
      <c r="B5" s="17"/>
      <c r="C5" s="17"/>
      <c r="D5" s="17"/>
      <c r="E5" s="17"/>
      <c r="F5" s="17"/>
      <c r="G5" s="17"/>
      <c r="H5" s="18"/>
      <c r="I5" s="7" t="s">
        <v>40</v>
      </c>
      <c r="J5" s="10" t="s">
        <v>1</v>
      </c>
      <c r="K5" s="11"/>
      <c r="L5" s="11"/>
      <c r="M5" s="11"/>
      <c r="N5" s="11"/>
      <c r="O5" s="11"/>
      <c r="P5" s="11"/>
      <c r="Q5" s="12"/>
    </row>
    <row r="6" spans="1:17" ht="14.25" customHeight="1" x14ac:dyDescent="0.2">
      <c r="A6" s="19"/>
      <c r="B6" s="20"/>
      <c r="C6" s="20"/>
      <c r="D6" s="20"/>
      <c r="E6" s="20"/>
      <c r="F6" s="20"/>
      <c r="G6" s="20"/>
      <c r="H6" s="21"/>
      <c r="I6" s="8"/>
      <c r="J6" s="13"/>
      <c r="K6" s="14"/>
      <c r="L6" s="14"/>
      <c r="M6" s="14"/>
      <c r="N6" s="14"/>
      <c r="O6" s="14"/>
      <c r="P6" s="14"/>
      <c r="Q6" s="15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8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8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9"/>
      <c r="K9" t="s">
        <v>87</v>
      </c>
      <c r="M9">
        <f>M8+2</f>
        <v>4104</v>
      </c>
    </row>
    <row r="10" spans="1:17" ht="14.25" customHeight="1" x14ac:dyDescent="0.2">
      <c r="A10" s="16" t="s">
        <v>0</v>
      </c>
      <c r="B10" s="17"/>
      <c r="C10" s="17"/>
      <c r="D10" s="17"/>
      <c r="E10" s="17"/>
      <c r="F10" s="17"/>
      <c r="G10" s="17"/>
      <c r="H10" s="18"/>
      <c r="I10" s="7" t="s">
        <v>76</v>
      </c>
      <c r="J10" s="10" t="s">
        <v>1</v>
      </c>
      <c r="K10" s="11"/>
      <c r="L10" s="11"/>
      <c r="M10" s="11"/>
      <c r="N10" s="11"/>
      <c r="O10" s="11"/>
      <c r="P10" s="11"/>
      <c r="Q10" s="12"/>
    </row>
    <row r="11" spans="1:17" ht="14.25" customHeight="1" x14ac:dyDescent="0.2">
      <c r="A11" s="19"/>
      <c r="B11" s="20"/>
      <c r="C11" s="20"/>
      <c r="D11" s="20"/>
      <c r="E11" s="20"/>
      <c r="F11" s="20"/>
      <c r="G11" s="20"/>
      <c r="H11" s="21"/>
      <c r="I11" s="8"/>
      <c r="J11" s="13"/>
      <c r="K11" s="14"/>
      <c r="L11" s="14"/>
      <c r="M11" s="14"/>
      <c r="N11" s="14"/>
      <c r="O11" s="14"/>
      <c r="P11" s="14"/>
      <c r="Q11" s="15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8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8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8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9"/>
    </row>
    <row r="16" spans="1:17" ht="14.25" customHeight="1" x14ac:dyDescent="0.2">
      <c r="A16" s="16" t="s">
        <v>0</v>
      </c>
      <c r="B16" s="17"/>
      <c r="C16" s="17"/>
      <c r="D16" s="17"/>
      <c r="E16" s="17"/>
      <c r="F16" s="17"/>
      <c r="G16" s="17"/>
      <c r="H16" s="18"/>
      <c r="I16" s="7" t="s">
        <v>60</v>
      </c>
      <c r="J16" s="10" t="s">
        <v>1</v>
      </c>
      <c r="K16" s="11"/>
      <c r="L16" s="11"/>
      <c r="M16" s="11"/>
      <c r="N16" s="11"/>
      <c r="O16" s="11"/>
      <c r="P16" s="11"/>
      <c r="Q16" s="12"/>
    </row>
    <row r="17" spans="1:17" ht="14.25" customHeight="1" x14ac:dyDescent="0.2">
      <c r="A17" s="19"/>
      <c r="B17" s="20"/>
      <c r="C17" s="20"/>
      <c r="D17" s="20"/>
      <c r="E17" s="20"/>
      <c r="F17" s="20"/>
      <c r="G17" s="20"/>
      <c r="H17" s="21"/>
      <c r="I17" s="8"/>
      <c r="J17" s="13"/>
      <c r="K17" s="14"/>
      <c r="L17" s="14"/>
      <c r="M17" s="14"/>
      <c r="N17" s="14"/>
      <c r="O17" s="14"/>
      <c r="P17" s="14"/>
      <c r="Q17" s="15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8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8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8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9"/>
    </row>
    <row r="22" spans="1:17" ht="14.25" customHeight="1" x14ac:dyDescent="0.2">
      <c r="A22" s="16" t="s">
        <v>0</v>
      </c>
      <c r="B22" s="17"/>
      <c r="C22" s="17"/>
      <c r="D22" s="17"/>
      <c r="E22" s="17"/>
      <c r="F22" s="17"/>
      <c r="G22" s="17"/>
      <c r="H22" s="18"/>
      <c r="I22" s="7" t="s">
        <v>82</v>
      </c>
      <c r="J22" s="10" t="s">
        <v>1</v>
      </c>
      <c r="K22" s="11"/>
      <c r="L22" s="11"/>
      <c r="M22" s="11"/>
      <c r="N22" s="11"/>
      <c r="O22" s="11"/>
      <c r="P22" s="11"/>
      <c r="Q22" s="12"/>
    </row>
    <row r="23" spans="1:17" ht="14.25" customHeight="1" x14ac:dyDescent="0.2">
      <c r="A23" s="19"/>
      <c r="B23" s="20"/>
      <c r="C23" s="20"/>
      <c r="D23" s="20"/>
      <c r="E23" s="20"/>
      <c r="F23" s="20"/>
      <c r="G23" s="20"/>
      <c r="H23" s="21"/>
      <c r="I23" s="8"/>
      <c r="J23" s="13"/>
      <c r="K23" s="14"/>
      <c r="L23" s="14"/>
      <c r="M23" s="14"/>
      <c r="N23" s="14"/>
      <c r="O23" s="14"/>
      <c r="P23" s="14"/>
      <c r="Q23" s="15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8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8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8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9"/>
      <c r="K27" t="s">
        <v>90</v>
      </c>
      <c r="M27">
        <f>M26+26</f>
        <v>4430</v>
      </c>
    </row>
    <row r="28" spans="1:17" ht="14.25" customHeight="1" x14ac:dyDescent="0.2">
      <c r="A28" s="16" t="s">
        <v>0</v>
      </c>
      <c r="B28" s="17"/>
      <c r="C28" s="17"/>
      <c r="D28" s="17"/>
      <c r="E28" s="17"/>
      <c r="F28" s="17"/>
      <c r="G28" s="17"/>
      <c r="H28" s="18"/>
      <c r="I28" s="22" t="s">
        <v>59</v>
      </c>
      <c r="J28" s="10" t="s">
        <v>1</v>
      </c>
      <c r="K28" s="11"/>
      <c r="L28" s="11"/>
      <c r="M28" s="11"/>
      <c r="N28" s="11"/>
      <c r="O28" s="11"/>
      <c r="P28" s="11"/>
      <c r="Q28" s="12"/>
    </row>
    <row r="29" spans="1:17" ht="14.25" customHeight="1" x14ac:dyDescent="0.2">
      <c r="A29" s="19"/>
      <c r="B29" s="20"/>
      <c r="C29" s="20"/>
      <c r="D29" s="20"/>
      <c r="E29" s="20"/>
      <c r="F29" s="20"/>
      <c r="G29" s="20"/>
      <c r="H29" s="21"/>
      <c r="I29" s="23"/>
      <c r="J29" s="13"/>
      <c r="K29" s="14"/>
      <c r="L29" s="14"/>
      <c r="M29" s="14"/>
      <c r="N29" s="14"/>
      <c r="O29" s="14"/>
      <c r="P29" s="14"/>
      <c r="Q29" s="15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14.2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16" t="s">
        <v>0</v>
      </c>
      <c r="B42" s="17"/>
      <c r="C42" s="17"/>
      <c r="D42" s="17"/>
      <c r="E42" s="17"/>
      <c r="F42" s="17"/>
      <c r="G42" s="17"/>
      <c r="H42" s="18"/>
      <c r="I42" s="7" t="s">
        <v>62</v>
      </c>
      <c r="J42" s="10" t="s">
        <v>1</v>
      </c>
      <c r="K42" s="11"/>
      <c r="L42" s="11"/>
      <c r="M42" s="11"/>
      <c r="N42" s="11"/>
      <c r="O42" s="11"/>
      <c r="P42" s="11"/>
      <c r="Q42" s="12"/>
    </row>
    <row r="43" spans="1:17" ht="14.25" customHeight="1" x14ac:dyDescent="0.2">
      <c r="A43" s="19"/>
      <c r="B43" s="20"/>
      <c r="C43" s="20"/>
      <c r="D43" s="20"/>
      <c r="E43" s="20"/>
      <c r="F43" s="20"/>
      <c r="G43" s="20"/>
      <c r="H43" s="21"/>
      <c r="I43" s="8"/>
      <c r="J43" s="13"/>
      <c r="K43" s="14"/>
      <c r="L43" s="14"/>
      <c r="M43" s="14"/>
      <c r="N43" s="14"/>
      <c r="O43" s="14"/>
      <c r="P43" s="14"/>
      <c r="Q43" s="15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8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8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8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8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8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8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8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8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8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8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8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8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8"/>
    </row>
    <row r="57" spans="1:17" x14ac:dyDescent="0.2">
      <c r="B57" t="s">
        <v>91</v>
      </c>
      <c r="D57">
        <f>D56+4</f>
        <v>680</v>
      </c>
      <c r="I57" s="9"/>
    </row>
    <row r="58" spans="1:17" ht="14.25" customHeight="1" x14ac:dyDescent="0.2">
      <c r="A58" s="16" t="s">
        <v>0</v>
      </c>
      <c r="B58" s="17"/>
      <c r="C58" s="17"/>
      <c r="D58" s="17"/>
      <c r="E58" s="17"/>
      <c r="F58" s="17"/>
      <c r="G58" s="17"/>
      <c r="H58" s="18"/>
      <c r="I58" s="7" t="s">
        <v>95</v>
      </c>
      <c r="J58" s="10" t="s">
        <v>1</v>
      </c>
      <c r="K58" s="11"/>
      <c r="L58" s="11"/>
      <c r="M58" s="11"/>
      <c r="N58" s="11"/>
      <c r="O58" s="11"/>
      <c r="P58" s="11"/>
      <c r="Q58" s="12"/>
    </row>
    <row r="59" spans="1:17" ht="14.25" customHeight="1" x14ac:dyDescent="0.2">
      <c r="A59" s="19"/>
      <c r="B59" s="20"/>
      <c r="C59" s="20"/>
      <c r="D59" s="20"/>
      <c r="E59" s="20"/>
      <c r="F59" s="20"/>
      <c r="G59" s="20"/>
      <c r="H59" s="21"/>
      <c r="I59" s="8"/>
      <c r="J59" s="13"/>
      <c r="K59" s="14"/>
      <c r="L59" s="14"/>
      <c r="M59" s="14"/>
      <c r="N59" s="14"/>
      <c r="O59" s="14"/>
      <c r="P59" s="14"/>
      <c r="Q59" s="15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8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8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8"/>
      <c r="K62" t="s">
        <v>106</v>
      </c>
      <c r="L62" t="s">
        <v>92</v>
      </c>
      <c r="M62">
        <f>M61+2</f>
        <v>4804</v>
      </c>
    </row>
    <row r="63" spans="1:17" ht="14.25" customHeight="1" x14ac:dyDescent="0.2">
      <c r="I63" s="8"/>
    </row>
    <row r="64" spans="1:17" ht="14.25" customHeight="1" x14ac:dyDescent="0.2">
      <c r="I64" s="8"/>
    </row>
    <row r="65" spans="9:9" ht="14.25" customHeight="1" x14ac:dyDescent="0.2">
      <c r="I65" s="8"/>
    </row>
    <row r="66" spans="9:9" ht="14.25" customHeight="1" x14ac:dyDescent="0.2">
      <c r="I66" s="8"/>
    </row>
    <row r="67" spans="9:9" ht="14.25" customHeight="1" x14ac:dyDescent="0.2">
      <c r="I67" s="8"/>
    </row>
    <row r="68" spans="9:9" ht="14.25" customHeight="1" x14ac:dyDescent="0.2">
      <c r="I68" s="8"/>
    </row>
    <row r="69" spans="9:9" ht="14.25" customHeight="1" x14ac:dyDescent="0.2">
      <c r="I69" s="8"/>
    </row>
    <row r="70" spans="9:9" ht="14.25" customHeight="1" x14ac:dyDescent="0.2">
      <c r="I70" s="8"/>
    </row>
    <row r="71" spans="9:9" ht="14.25" customHeight="1" x14ac:dyDescent="0.2">
      <c r="I71" s="8"/>
    </row>
    <row r="72" spans="9:9" ht="14.25" customHeight="1" x14ac:dyDescent="0.2">
      <c r="I72" s="9"/>
    </row>
  </sheetData>
  <mergeCells count="24">
    <mergeCell ref="A42:H43"/>
    <mergeCell ref="I42:I57"/>
    <mergeCell ref="J42:Q43"/>
    <mergeCell ref="A58:H59"/>
    <mergeCell ref="I58:I72"/>
    <mergeCell ref="J58:Q59"/>
    <mergeCell ref="I22:I27"/>
    <mergeCell ref="J22:Q23"/>
    <mergeCell ref="A28:H29"/>
    <mergeCell ref="I28:I41"/>
    <mergeCell ref="J28:Q29"/>
    <mergeCell ref="A22:H23"/>
    <mergeCell ref="A2:H3"/>
    <mergeCell ref="I2:I4"/>
    <mergeCell ref="J2:Q3"/>
    <mergeCell ref="A5:H6"/>
    <mergeCell ref="J5:Q6"/>
    <mergeCell ref="I5:I9"/>
    <mergeCell ref="A10:H11"/>
    <mergeCell ref="I10:I15"/>
    <mergeCell ref="J10:Q11"/>
    <mergeCell ref="A16:H17"/>
    <mergeCell ref="I16:I21"/>
    <mergeCell ref="J16:Q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72"/>
  <sheetViews>
    <sheetView topLeftCell="C1" workbookViewId="0">
      <selection activeCell="M8" sqref="M8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16" t="s">
        <v>0</v>
      </c>
      <c r="B5" s="17"/>
      <c r="C5" s="17"/>
      <c r="D5" s="17"/>
      <c r="E5" s="17"/>
      <c r="F5" s="17"/>
      <c r="G5" s="17"/>
      <c r="H5" s="18"/>
      <c r="I5" s="7" t="s">
        <v>40</v>
      </c>
      <c r="J5" s="10" t="s">
        <v>1</v>
      </c>
      <c r="K5" s="11"/>
      <c r="L5" s="11"/>
      <c r="M5" s="11"/>
      <c r="N5" s="11"/>
      <c r="O5" s="11"/>
      <c r="P5" s="11"/>
      <c r="Q5" s="12"/>
    </row>
    <row r="6" spans="1:17" ht="14.25" customHeight="1" x14ac:dyDescent="0.2">
      <c r="A6" s="19"/>
      <c r="B6" s="20"/>
      <c r="C6" s="20"/>
      <c r="D6" s="20"/>
      <c r="E6" s="20"/>
      <c r="F6" s="20"/>
      <c r="G6" s="20"/>
      <c r="H6" s="21"/>
      <c r="I6" s="8"/>
      <c r="J6" s="13"/>
      <c r="K6" s="14"/>
      <c r="L6" s="14"/>
      <c r="M6" s="14"/>
      <c r="N6" s="14"/>
      <c r="O6" s="14"/>
      <c r="P6" s="14"/>
      <c r="Q6" s="15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8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8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9"/>
      <c r="K9" t="s">
        <v>87</v>
      </c>
      <c r="M9">
        <f>M8+2</f>
        <v>4104</v>
      </c>
    </row>
    <row r="10" spans="1:17" ht="14.25" customHeight="1" x14ac:dyDescent="0.2">
      <c r="A10" s="16" t="s">
        <v>0</v>
      </c>
      <c r="B10" s="17"/>
      <c r="C10" s="17"/>
      <c r="D10" s="17"/>
      <c r="E10" s="17"/>
      <c r="F10" s="17"/>
      <c r="G10" s="17"/>
      <c r="H10" s="18"/>
      <c r="I10" s="7" t="s">
        <v>76</v>
      </c>
      <c r="J10" s="10" t="s">
        <v>1</v>
      </c>
      <c r="K10" s="11"/>
      <c r="L10" s="11"/>
      <c r="M10" s="11"/>
      <c r="N10" s="11"/>
      <c r="O10" s="11"/>
      <c r="P10" s="11"/>
      <c r="Q10" s="12"/>
    </row>
    <row r="11" spans="1:17" ht="14.25" customHeight="1" x14ac:dyDescent="0.2">
      <c r="A11" s="19"/>
      <c r="B11" s="20"/>
      <c r="C11" s="20"/>
      <c r="D11" s="20"/>
      <c r="E11" s="20"/>
      <c r="F11" s="20"/>
      <c r="G11" s="20"/>
      <c r="H11" s="21"/>
      <c r="I11" s="8"/>
      <c r="J11" s="13"/>
      <c r="K11" s="14"/>
      <c r="L11" s="14"/>
      <c r="M11" s="14"/>
      <c r="N11" s="14"/>
      <c r="O11" s="14"/>
      <c r="P11" s="14"/>
      <c r="Q11" s="15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8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8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8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9"/>
    </row>
    <row r="16" spans="1:17" ht="14.25" customHeight="1" x14ac:dyDescent="0.2">
      <c r="A16" s="16" t="s">
        <v>0</v>
      </c>
      <c r="B16" s="17"/>
      <c r="C16" s="17"/>
      <c r="D16" s="17"/>
      <c r="E16" s="17"/>
      <c r="F16" s="17"/>
      <c r="G16" s="17"/>
      <c r="H16" s="18"/>
      <c r="I16" s="7" t="s">
        <v>60</v>
      </c>
      <c r="J16" s="10" t="s">
        <v>1</v>
      </c>
      <c r="K16" s="11"/>
      <c r="L16" s="11"/>
      <c r="M16" s="11"/>
      <c r="N16" s="11"/>
      <c r="O16" s="11"/>
      <c r="P16" s="11"/>
      <c r="Q16" s="12"/>
    </row>
    <row r="17" spans="1:17" ht="14.25" customHeight="1" x14ac:dyDescent="0.2">
      <c r="A17" s="19"/>
      <c r="B17" s="20"/>
      <c r="C17" s="20"/>
      <c r="D17" s="20"/>
      <c r="E17" s="20"/>
      <c r="F17" s="20"/>
      <c r="G17" s="20"/>
      <c r="H17" s="21"/>
      <c r="I17" s="8"/>
      <c r="J17" s="13"/>
      <c r="K17" s="14"/>
      <c r="L17" s="14"/>
      <c r="M17" s="14"/>
      <c r="N17" s="14"/>
      <c r="O17" s="14"/>
      <c r="P17" s="14"/>
      <c r="Q17" s="15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8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8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8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9"/>
    </row>
    <row r="22" spans="1:17" ht="14.25" customHeight="1" x14ac:dyDescent="0.2">
      <c r="A22" s="16" t="s">
        <v>0</v>
      </c>
      <c r="B22" s="17"/>
      <c r="C22" s="17"/>
      <c r="D22" s="17"/>
      <c r="E22" s="17"/>
      <c r="F22" s="17"/>
      <c r="G22" s="17"/>
      <c r="H22" s="18"/>
      <c r="I22" s="7" t="s">
        <v>82</v>
      </c>
      <c r="J22" s="10" t="s">
        <v>1</v>
      </c>
      <c r="K22" s="11"/>
      <c r="L22" s="11"/>
      <c r="M22" s="11"/>
      <c r="N22" s="11"/>
      <c r="O22" s="11"/>
      <c r="P22" s="11"/>
      <c r="Q22" s="12"/>
    </row>
    <row r="23" spans="1:17" ht="14.25" customHeight="1" x14ac:dyDescent="0.2">
      <c r="A23" s="19"/>
      <c r="B23" s="20"/>
      <c r="C23" s="20"/>
      <c r="D23" s="20"/>
      <c r="E23" s="20"/>
      <c r="F23" s="20"/>
      <c r="G23" s="20"/>
      <c r="H23" s="21"/>
      <c r="I23" s="8"/>
      <c r="J23" s="13"/>
      <c r="K23" s="14"/>
      <c r="L23" s="14"/>
      <c r="M23" s="14"/>
      <c r="N23" s="14"/>
      <c r="O23" s="14"/>
      <c r="P23" s="14"/>
      <c r="Q23" s="15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8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8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8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9"/>
      <c r="K27" t="s">
        <v>90</v>
      </c>
      <c r="M27">
        <f>M26+26</f>
        <v>4430</v>
      </c>
    </row>
    <row r="28" spans="1:17" ht="14.25" customHeight="1" x14ac:dyDescent="0.2">
      <c r="A28" s="16" t="s">
        <v>0</v>
      </c>
      <c r="B28" s="17"/>
      <c r="C28" s="17"/>
      <c r="D28" s="17"/>
      <c r="E28" s="17"/>
      <c r="F28" s="17"/>
      <c r="G28" s="17"/>
      <c r="H28" s="18"/>
      <c r="I28" s="22" t="s">
        <v>59</v>
      </c>
      <c r="J28" s="10" t="s">
        <v>1</v>
      </c>
      <c r="K28" s="11"/>
      <c r="L28" s="11"/>
      <c r="M28" s="11"/>
      <c r="N28" s="11"/>
      <c r="O28" s="11"/>
      <c r="P28" s="11"/>
      <c r="Q28" s="12"/>
    </row>
    <row r="29" spans="1:17" ht="14.25" customHeight="1" x14ac:dyDescent="0.2">
      <c r="A29" s="19"/>
      <c r="B29" s="20"/>
      <c r="C29" s="20"/>
      <c r="D29" s="20"/>
      <c r="E29" s="20"/>
      <c r="F29" s="20"/>
      <c r="G29" s="20"/>
      <c r="H29" s="21"/>
      <c r="I29" s="23"/>
      <c r="J29" s="13"/>
      <c r="K29" s="14"/>
      <c r="L29" s="14"/>
      <c r="M29" s="14"/>
      <c r="N29" s="14"/>
      <c r="O29" s="14"/>
      <c r="P29" s="14"/>
      <c r="Q29" s="15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16" t="s">
        <v>0</v>
      </c>
      <c r="B42" s="17"/>
      <c r="C42" s="17"/>
      <c r="D42" s="17"/>
      <c r="E42" s="17"/>
      <c r="F42" s="17"/>
      <c r="G42" s="17"/>
      <c r="H42" s="18"/>
      <c r="I42" s="7" t="s">
        <v>62</v>
      </c>
      <c r="J42" s="10" t="s">
        <v>1</v>
      </c>
      <c r="K42" s="11"/>
      <c r="L42" s="11"/>
      <c r="M42" s="11"/>
      <c r="N42" s="11"/>
      <c r="O42" s="11"/>
      <c r="P42" s="11"/>
      <c r="Q42" s="12"/>
    </row>
    <row r="43" spans="1:17" ht="14.25" customHeight="1" x14ac:dyDescent="0.2">
      <c r="A43" s="19"/>
      <c r="B43" s="20"/>
      <c r="C43" s="20"/>
      <c r="D43" s="20"/>
      <c r="E43" s="20"/>
      <c r="F43" s="20"/>
      <c r="G43" s="20"/>
      <c r="H43" s="21"/>
      <c r="I43" s="8"/>
      <c r="J43" s="13"/>
      <c r="K43" s="14"/>
      <c r="L43" s="14"/>
      <c r="M43" s="14"/>
      <c r="N43" s="14"/>
      <c r="O43" s="14"/>
      <c r="P43" s="14"/>
      <c r="Q43" s="15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8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8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8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8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8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8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8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8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8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8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8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8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8"/>
    </row>
    <row r="57" spans="1:17" x14ac:dyDescent="0.2">
      <c r="B57" t="s">
        <v>91</v>
      </c>
      <c r="D57">
        <f>D56+4</f>
        <v>680</v>
      </c>
      <c r="I57" s="9"/>
    </row>
    <row r="58" spans="1:17" ht="14.25" customHeight="1" x14ac:dyDescent="0.2">
      <c r="A58" s="16" t="s">
        <v>0</v>
      </c>
      <c r="B58" s="17"/>
      <c r="C58" s="17"/>
      <c r="D58" s="17"/>
      <c r="E58" s="17"/>
      <c r="F58" s="17"/>
      <c r="G58" s="17"/>
      <c r="H58" s="18"/>
      <c r="I58" s="7" t="s">
        <v>97</v>
      </c>
      <c r="J58" s="10" t="s">
        <v>1</v>
      </c>
      <c r="K58" s="11"/>
      <c r="L58" s="11"/>
      <c r="M58" s="11"/>
      <c r="N58" s="11"/>
      <c r="O58" s="11"/>
      <c r="P58" s="11"/>
      <c r="Q58" s="12"/>
    </row>
    <row r="59" spans="1:17" ht="14.25" customHeight="1" x14ac:dyDescent="0.2">
      <c r="A59" s="19"/>
      <c r="B59" s="20"/>
      <c r="C59" s="20"/>
      <c r="D59" s="20"/>
      <c r="E59" s="20"/>
      <c r="F59" s="20"/>
      <c r="G59" s="20"/>
      <c r="H59" s="21"/>
      <c r="I59" s="8"/>
      <c r="J59" s="13"/>
      <c r="K59" s="14"/>
      <c r="L59" s="14"/>
      <c r="M59" s="14"/>
      <c r="N59" s="14"/>
      <c r="O59" s="14"/>
      <c r="P59" s="14"/>
      <c r="Q59" s="15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8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8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8"/>
      <c r="K62" t="s">
        <v>96</v>
      </c>
      <c r="L62" t="s">
        <v>26</v>
      </c>
      <c r="M62">
        <f>M61+2</f>
        <v>4804</v>
      </c>
    </row>
    <row r="63" spans="1:17" ht="14.25" customHeight="1" x14ac:dyDescent="0.2">
      <c r="I63" s="8"/>
    </row>
    <row r="64" spans="1:17" ht="14.25" customHeight="1" x14ac:dyDescent="0.2">
      <c r="I64" s="8"/>
    </row>
    <row r="65" spans="9:9" ht="14.25" customHeight="1" x14ac:dyDescent="0.2">
      <c r="I65" s="8"/>
    </row>
    <row r="66" spans="9:9" ht="14.25" customHeight="1" x14ac:dyDescent="0.2">
      <c r="I66" s="8"/>
    </row>
    <row r="67" spans="9:9" ht="14.25" customHeight="1" x14ac:dyDescent="0.2">
      <c r="I67" s="8"/>
    </row>
    <row r="68" spans="9:9" ht="14.25" customHeight="1" x14ac:dyDescent="0.2">
      <c r="I68" s="8"/>
    </row>
    <row r="69" spans="9:9" ht="14.25" customHeight="1" x14ac:dyDescent="0.2">
      <c r="I69" s="8"/>
    </row>
    <row r="70" spans="9:9" ht="14.25" customHeight="1" x14ac:dyDescent="0.2">
      <c r="I70" s="8"/>
    </row>
    <row r="71" spans="9:9" ht="14.25" customHeight="1" x14ac:dyDescent="0.2">
      <c r="I71" s="8"/>
    </row>
    <row r="72" spans="9:9" ht="14.25" customHeight="1" x14ac:dyDescent="0.2">
      <c r="I72" s="9"/>
    </row>
  </sheetData>
  <mergeCells count="24"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  <mergeCell ref="A2:H3"/>
    <mergeCell ref="I2:I4"/>
    <mergeCell ref="J2:Q3"/>
    <mergeCell ref="A5:H6"/>
    <mergeCell ref="J5:Q6"/>
    <mergeCell ref="J42:Q4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topLeftCell="A4" zoomScaleNormal="100" workbookViewId="0">
      <selection activeCell="D48" sqref="D48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32.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16" t="s">
        <v>0</v>
      </c>
      <c r="B5" s="17"/>
      <c r="C5" s="17"/>
      <c r="D5" s="17"/>
      <c r="E5" s="17"/>
      <c r="F5" s="17"/>
      <c r="G5" s="17"/>
      <c r="H5" s="18"/>
      <c r="I5" s="7" t="s">
        <v>40</v>
      </c>
      <c r="J5" s="10" t="s">
        <v>1</v>
      </c>
      <c r="K5" s="11"/>
      <c r="L5" s="11"/>
      <c r="M5" s="11"/>
      <c r="N5" s="11"/>
      <c r="O5" s="11"/>
      <c r="P5" s="11"/>
      <c r="Q5" s="12"/>
    </row>
    <row r="6" spans="1:17" ht="14.25" customHeight="1" x14ac:dyDescent="0.2">
      <c r="A6" s="19"/>
      <c r="B6" s="20"/>
      <c r="C6" s="20"/>
      <c r="D6" s="20"/>
      <c r="E6" s="20"/>
      <c r="F6" s="20"/>
      <c r="G6" s="20"/>
      <c r="H6" s="21"/>
      <c r="I6" s="8"/>
      <c r="J6" s="13"/>
      <c r="K6" s="14"/>
      <c r="L6" s="14"/>
      <c r="M6" s="14"/>
      <c r="N6" s="14"/>
      <c r="O6" s="14"/>
      <c r="P6" s="14"/>
      <c r="Q6" s="15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8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8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9"/>
      <c r="K9" t="s">
        <v>87</v>
      </c>
      <c r="M9">
        <f>M8+2</f>
        <v>4104</v>
      </c>
    </row>
    <row r="10" spans="1:17" ht="14.25" customHeight="1" x14ac:dyDescent="0.2">
      <c r="A10" s="16" t="s">
        <v>0</v>
      </c>
      <c r="B10" s="17"/>
      <c r="C10" s="17"/>
      <c r="D10" s="17"/>
      <c r="E10" s="17"/>
      <c r="F10" s="17"/>
      <c r="G10" s="17"/>
      <c r="H10" s="18"/>
      <c r="I10" s="7" t="s">
        <v>76</v>
      </c>
      <c r="J10" s="10" t="s">
        <v>1</v>
      </c>
      <c r="K10" s="11"/>
      <c r="L10" s="11"/>
      <c r="M10" s="11"/>
      <c r="N10" s="11"/>
      <c r="O10" s="11"/>
      <c r="P10" s="11"/>
      <c r="Q10" s="12"/>
    </row>
    <row r="11" spans="1:17" ht="14.25" customHeight="1" x14ac:dyDescent="0.2">
      <c r="A11" s="19"/>
      <c r="B11" s="20"/>
      <c r="C11" s="20"/>
      <c r="D11" s="20"/>
      <c r="E11" s="20"/>
      <c r="F11" s="20"/>
      <c r="G11" s="20"/>
      <c r="H11" s="21"/>
      <c r="I11" s="8"/>
      <c r="J11" s="13"/>
      <c r="K11" s="14"/>
      <c r="L11" s="14"/>
      <c r="M11" s="14"/>
      <c r="N11" s="14"/>
      <c r="O11" s="14"/>
      <c r="P11" s="14"/>
      <c r="Q11" s="15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8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8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8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9"/>
    </row>
    <row r="16" spans="1:17" ht="14.25" customHeight="1" x14ac:dyDescent="0.2">
      <c r="A16" s="16" t="s">
        <v>0</v>
      </c>
      <c r="B16" s="17"/>
      <c r="C16" s="17"/>
      <c r="D16" s="17"/>
      <c r="E16" s="17"/>
      <c r="F16" s="17"/>
      <c r="G16" s="17"/>
      <c r="H16" s="18"/>
      <c r="I16" s="7" t="s">
        <v>60</v>
      </c>
      <c r="J16" s="10" t="s">
        <v>1</v>
      </c>
      <c r="K16" s="11"/>
      <c r="L16" s="11"/>
      <c r="M16" s="11"/>
      <c r="N16" s="11"/>
      <c r="O16" s="11"/>
      <c r="P16" s="11"/>
      <c r="Q16" s="12"/>
    </row>
    <row r="17" spans="1:17" ht="14.25" customHeight="1" x14ac:dyDescent="0.2">
      <c r="A17" s="19"/>
      <c r="B17" s="20"/>
      <c r="C17" s="20"/>
      <c r="D17" s="20"/>
      <c r="E17" s="20"/>
      <c r="F17" s="20"/>
      <c r="G17" s="20"/>
      <c r="H17" s="21"/>
      <c r="I17" s="8"/>
      <c r="J17" s="13"/>
      <c r="K17" s="14"/>
      <c r="L17" s="14"/>
      <c r="M17" s="14"/>
      <c r="N17" s="14"/>
      <c r="O17" s="14"/>
      <c r="P17" s="14"/>
      <c r="Q17" s="15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8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8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8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9"/>
    </row>
    <row r="22" spans="1:17" ht="14.25" customHeight="1" x14ac:dyDescent="0.2">
      <c r="A22" s="16" t="s">
        <v>0</v>
      </c>
      <c r="B22" s="17"/>
      <c r="C22" s="17"/>
      <c r="D22" s="17"/>
      <c r="E22" s="17"/>
      <c r="F22" s="17"/>
      <c r="G22" s="17"/>
      <c r="H22" s="18"/>
      <c r="I22" s="7" t="s">
        <v>82</v>
      </c>
      <c r="J22" s="10" t="s">
        <v>1</v>
      </c>
      <c r="K22" s="11"/>
      <c r="L22" s="11"/>
      <c r="M22" s="11"/>
      <c r="N22" s="11"/>
      <c r="O22" s="11"/>
      <c r="P22" s="11"/>
      <c r="Q22" s="12"/>
    </row>
    <row r="23" spans="1:17" ht="14.25" customHeight="1" x14ac:dyDescent="0.2">
      <c r="A23" s="19"/>
      <c r="B23" s="20"/>
      <c r="C23" s="20"/>
      <c r="D23" s="20"/>
      <c r="E23" s="20"/>
      <c r="F23" s="20"/>
      <c r="G23" s="20"/>
      <c r="H23" s="21"/>
      <c r="I23" s="8"/>
      <c r="J23" s="13"/>
      <c r="K23" s="14"/>
      <c r="L23" s="14"/>
      <c r="M23" s="14"/>
      <c r="N23" s="14"/>
      <c r="O23" s="14"/>
      <c r="P23" s="14"/>
      <c r="Q23" s="15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8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8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8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9"/>
      <c r="K27" t="s">
        <v>90</v>
      </c>
      <c r="M27">
        <f>M26+26</f>
        <v>4430</v>
      </c>
    </row>
    <row r="28" spans="1:17" ht="14.25" customHeight="1" x14ac:dyDescent="0.2">
      <c r="A28" s="16" t="s">
        <v>0</v>
      </c>
      <c r="B28" s="17"/>
      <c r="C28" s="17"/>
      <c r="D28" s="17"/>
      <c r="E28" s="17"/>
      <c r="F28" s="17"/>
      <c r="G28" s="17"/>
      <c r="H28" s="18"/>
      <c r="I28" s="22" t="s">
        <v>59</v>
      </c>
      <c r="J28" s="10" t="s">
        <v>1</v>
      </c>
      <c r="K28" s="11"/>
      <c r="L28" s="11"/>
      <c r="M28" s="11"/>
      <c r="N28" s="11"/>
      <c r="O28" s="11"/>
      <c r="P28" s="11"/>
      <c r="Q28" s="12"/>
    </row>
    <row r="29" spans="1:17" ht="14.25" customHeight="1" x14ac:dyDescent="0.2">
      <c r="A29" s="19"/>
      <c r="B29" s="20"/>
      <c r="C29" s="20"/>
      <c r="D29" s="20"/>
      <c r="E29" s="20"/>
      <c r="F29" s="20"/>
      <c r="G29" s="20"/>
      <c r="H29" s="21"/>
      <c r="I29" s="23"/>
      <c r="J29" s="13"/>
      <c r="K29" s="14"/>
      <c r="L29" s="14"/>
      <c r="M29" s="14"/>
      <c r="N29" s="14"/>
      <c r="O29" s="14"/>
      <c r="P29" s="14"/>
      <c r="Q29" s="15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16" t="s">
        <v>0</v>
      </c>
      <c r="B42" s="17"/>
      <c r="C42" s="17"/>
      <c r="D42" s="17"/>
      <c r="E42" s="17"/>
      <c r="F42" s="17"/>
      <c r="G42" s="17"/>
      <c r="H42" s="18"/>
      <c r="I42" s="7" t="s">
        <v>62</v>
      </c>
      <c r="J42" s="10" t="s">
        <v>1</v>
      </c>
      <c r="K42" s="11"/>
      <c r="L42" s="11"/>
      <c r="M42" s="11"/>
      <c r="N42" s="11"/>
      <c r="O42" s="11"/>
      <c r="P42" s="11"/>
      <c r="Q42" s="12"/>
    </row>
    <row r="43" spans="1:17" ht="14.25" customHeight="1" x14ac:dyDescent="0.2">
      <c r="A43" s="19"/>
      <c r="B43" s="20"/>
      <c r="C43" s="20"/>
      <c r="D43" s="20"/>
      <c r="E43" s="20"/>
      <c r="F43" s="20"/>
      <c r="G43" s="20"/>
      <c r="H43" s="21"/>
      <c r="I43" s="8"/>
      <c r="J43" s="13"/>
      <c r="K43" s="14"/>
      <c r="L43" s="14"/>
      <c r="M43" s="14"/>
      <c r="N43" s="14"/>
      <c r="O43" s="14"/>
      <c r="P43" s="14"/>
      <c r="Q43" s="15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8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8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8"/>
      <c r="K46" t="s">
        <v>93</v>
      </c>
      <c r="M46">
        <f>M45+2</f>
        <v>4604</v>
      </c>
    </row>
    <row r="47" spans="1:17" ht="14.25" customHeight="1" x14ac:dyDescent="0.2">
      <c r="B47" t="s">
        <v>148</v>
      </c>
      <c r="C47" t="s">
        <v>147</v>
      </c>
      <c r="D47">
        <f>D46+12</f>
        <v>640</v>
      </c>
      <c r="I47" s="8"/>
    </row>
    <row r="48" spans="1:17" ht="14.25" customHeight="1" x14ac:dyDescent="0.2">
      <c r="B48" t="s">
        <v>153</v>
      </c>
      <c r="D48">
        <f>D47+16*20</f>
        <v>960</v>
      </c>
      <c r="I48" s="8"/>
    </row>
    <row r="49" spans="9:9" ht="14.25" customHeight="1" x14ac:dyDescent="0.2">
      <c r="I49" s="8"/>
    </row>
    <row r="50" spans="9:9" ht="14.25" customHeight="1" x14ac:dyDescent="0.2">
      <c r="I50" s="8"/>
    </row>
    <row r="51" spans="9:9" ht="14.25" customHeight="1" x14ac:dyDescent="0.2">
      <c r="I51" s="8"/>
    </row>
    <row r="52" spans="9:9" ht="14.25" customHeight="1" x14ac:dyDescent="0.2">
      <c r="I52" s="8"/>
    </row>
    <row r="53" spans="9:9" ht="14.25" customHeight="1" x14ac:dyDescent="0.2">
      <c r="I53" s="8"/>
    </row>
    <row r="54" spans="9:9" ht="14.25" customHeight="1" x14ac:dyDescent="0.2">
      <c r="I54" s="8"/>
    </row>
    <row r="55" spans="9:9" ht="14.25" customHeight="1" x14ac:dyDescent="0.2">
      <c r="I55" s="8"/>
    </row>
    <row r="56" spans="9:9" ht="14.25" customHeight="1" x14ac:dyDescent="0.2">
      <c r="I56" s="8"/>
    </row>
    <row r="57" spans="9:9" x14ac:dyDescent="0.2">
      <c r="I57" s="9"/>
    </row>
  </sheetData>
  <mergeCells count="21">
    <mergeCell ref="J42:Q43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  <mergeCell ref="A2:H3"/>
    <mergeCell ref="I2:I4"/>
    <mergeCell ref="J2:Q3"/>
    <mergeCell ref="A5:H6"/>
    <mergeCell ref="J5:Q6"/>
  </mergeCells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5EEC-AE50-4168-A775-ECB214B9B97A}">
  <dimension ref="E10:G14"/>
  <sheetViews>
    <sheetView workbookViewId="0">
      <selection activeCell="H29" sqref="H29"/>
    </sheetView>
  </sheetViews>
  <sheetFormatPr defaultRowHeight="14.25" x14ac:dyDescent="0.2"/>
  <cols>
    <col min="5" max="5" width="11.375" bestFit="1" customWidth="1"/>
    <col min="7" max="7" width="11.375" bestFit="1" customWidth="1"/>
  </cols>
  <sheetData>
    <row r="10" spans="5:7" x14ac:dyDescent="0.2">
      <c r="E10" s="4" t="s">
        <v>7</v>
      </c>
      <c r="F10" s="4" t="s">
        <v>8</v>
      </c>
      <c r="G10" s="4" t="s">
        <v>108</v>
      </c>
    </row>
    <row r="11" spans="5:7" x14ac:dyDescent="0.2">
      <c r="E11" s="5" t="s">
        <v>150</v>
      </c>
      <c r="F11" s="5" t="s">
        <v>104</v>
      </c>
      <c r="G11" s="5" t="s">
        <v>149</v>
      </c>
    </row>
    <row r="12" spans="5:7" x14ac:dyDescent="0.2">
      <c r="E12" s="5" t="s">
        <v>151</v>
      </c>
      <c r="F12" s="5" t="s">
        <v>104</v>
      </c>
      <c r="G12" s="5" t="s">
        <v>151</v>
      </c>
    </row>
    <row r="13" spans="5:7" x14ac:dyDescent="0.2">
      <c r="E13" s="5" t="s">
        <v>152</v>
      </c>
      <c r="F13" s="5" t="s">
        <v>104</v>
      </c>
      <c r="G13" s="5" t="s">
        <v>152</v>
      </c>
    </row>
    <row r="14" spans="5:7" x14ac:dyDescent="0.2">
      <c r="E14" s="5" t="s">
        <v>156</v>
      </c>
      <c r="F14" s="5" t="s">
        <v>104</v>
      </c>
      <c r="G14" s="5" t="s">
        <v>156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3"/>
  <sheetViews>
    <sheetView tabSelected="1" topLeftCell="A40" zoomScaleNormal="100" workbookViewId="0">
      <selection activeCell="A61" sqref="A61:XFD61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16" t="s">
        <v>0</v>
      </c>
      <c r="B5" s="17"/>
      <c r="C5" s="17"/>
      <c r="D5" s="17"/>
      <c r="E5" s="17"/>
      <c r="F5" s="17"/>
      <c r="G5" s="17"/>
      <c r="H5" s="18"/>
      <c r="I5" s="7" t="s">
        <v>40</v>
      </c>
      <c r="J5" s="10" t="s">
        <v>1</v>
      </c>
      <c r="K5" s="11"/>
      <c r="L5" s="11"/>
      <c r="M5" s="11"/>
      <c r="N5" s="11"/>
      <c r="O5" s="11"/>
      <c r="P5" s="11"/>
      <c r="Q5" s="12"/>
    </row>
    <row r="6" spans="1:17" ht="14.25" customHeight="1" x14ac:dyDescent="0.2">
      <c r="A6" s="19"/>
      <c r="B6" s="20"/>
      <c r="C6" s="20"/>
      <c r="D6" s="20"/>
      <c r="E6" s="20"/>
      <c r="F6" s="20"/>
      <c r="G6" s="20"/>
      <c r="H6" s="21"/>
      <c r="I6" s="8"/>
      <c r="J6" s="13"/>
      <c r="K6" s="14"/>
      <c r="L6" s="14"/>
      <c r="M6" s="14"/>
      <c r="N6" s="14"/>
      <c r="O6" s="14"/>
      <c r="P6" s="14"/>
      <c r="Q6" s="15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8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8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9"/>
      <c r="K9" t="s">
        <v>87</v>
      </c>
      <c r="M9">
        <f>M8+2</f>
        <v>4104</v>
      </c>
    </row>
    <row r="10" spans="1:17" ht="14.25" customHeight="1" x14ac:dyDescent="0.2">
      <c r="A10" s="16" t="s">
        <v>0</v>
      </c>
      <c r="B10" s="17"/>
      <c r="C10" s="17"/>
      <c r="D10" s="17"/>
      <c r="E10" s="17"/>
      <c r="F10" s="17"/>
      <c r="G10" s="17"/>
      <c r="H10" s="18"/>
      <c r="I10" s="7" t="s">
        <v>76</v>
      </c>
      <c r="J10" s="10" t="s">
        <v>1</v>
      </c>
      <c r="K10" s="11"/>
      <c r="L10" s="11"/>
      <c r="M10" s="11"/>
      <c r="N10" s="11"/>
      <c r="O10" s="11"/>
      <c r="P10" s="11"/>
      <c r="Q10" s="12"/>
    </row>
    <row r="11" spans="1:17" ht="14.25" customHeight="1" x14ac:dyDescent="0.2">
      <c r="A11" s="19"/>
      <c r="B11" s="20"/>
      <c r="C11" s="20"/>
      <c r="D11" s="20"/>
      <c r="E11" s="20"/>
      <c r="F11" s="20"/>
      <c r="G11" s="20"/>
      <c r="H11" s="21"/>
      <c r="I11" s="8"/>
      <c r="J11" s="13"/>
      <c r="K11" s="14"/>
      <c r="L11" s="14"/>
      <c r="M11" s="14"/>
      <c r="N11" s="14"/>
      <c r="O11" s="14"/>
      <c r="P11" s="14"/>
      <c r="Q11" s="15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8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8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8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9"/>
    </row>
    <row r="16" spans="1:17" ht="14.25" customHeight="1" x14ac:dyDescent="0.2">
      <c r="A16" s="16" t="s">
        <v>0</v>
      </c>
      <c r="B16" s="17"/>
      <c r="C16" s="17"/>
      <c r="D16" s="17"/>
      <c r="E16" s="17"/>
      <c r="F16" s="17"/>
      <c r="G16" s="17"/>
      <c r="H16" s="18"/>
      <c r="I16" s="7" t="s">
        <v>60</v>
      </c>
      <c r="J16" s="10" t="s">
        <v>1</v>
      </c>
      <c r="K16" s="11"/>
      <c r="L16" s="11"/>
      <c r="M16" s="11"/>
      <c r="N16" s="11"/>
      <c r="O16" s="11"/>
      <c r="P16" s="11"/>
      <c r="Q16" s="12"/>
    </row>
    <row r="17" spans="1:17" ht="14.25" customHeight="1" x14ac:dyDescent="0.2">
      <c r="A17" s="19"/>
      <c r="B17" s="20"/>
      <c r="C17" s="20"/>
      <c r="D17" s="20"/>
      <c r="E17" s="20"/>
      <c r="F17" s="20"/>
      <c r="G17" s="20"/>
      <c r="H17" s="21"/>
      <c r="I17" s="8"/>
      <c r="J17" s="13"/>
      <c r="K17" s="14"/>
      <c r="L17" s="14"/>
      <c r="M17" s="14"/>
      <c r="N17" s="14"/>
      <c r="O17" s="14"/>
      <c r="P17" s="14"/>
      <c r="Q17" s="15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8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8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8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9"/>
    </row>
    <row r="22" spans="1:17" ht="14.25" customHeight="1" x14ac:dyDescent="0.2">
      <c r="A22" s="16" t="s">
        <v>0</v>
      </c>
      <c r="B22" s="17"/>
      <c r="C22" s="17"/>
      <c r="D22" s="17"/>
      <c r="E22" s="17"/>
      <c r="F22" s="17"/>
      <c r="G22" s="17"/>
      <c r="H22" s="18"/>
      <c r="I22" s="7" t="s">
        <v>82</v>
      </c>
      <c r="J22" s="10" t="s">
        <v>1</v>
      </c>
      <c r="K22" s="11"/>
      <c r="L22" s="11"/>
      <c r="M22" s="11"/>
      <c r="N22" s="11"/>
      <c r="O22" s="11"/>
      <c r="P22" s="11"/>
      <c r="Q22" s="12"/>
    </row>
    <row r="23" spans="1:17" ht="14.25" customHeight="1" x14ac:dyDescent="0.2">
      <c r="A23" s="19"/>
      <c r="B23" s="20"/>
      <c r="C23" s="20"/>
      <c r="D23" s="20"/>
      <c r="E23" s="20"/>
      <c r="F23" s="20"/>
      <c r="G23" s="20"/>
      <c r="H23" s="21"/>
      <c r="I23" s="8"/>
      <c r="J23" s="13"/>
      <c r="K23" s="14"/>
      <c r="L23" s="14"/>
      <c r="M23" s="14"/>
      <c r="N23" s="14"/>
      <c r="O23" s="14"/>
      <c r="P23" s="14"/>
      <c r="Q23" s="15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8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8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8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9"/>
      <c r="K27" t="s">
        <v>90</v>
      </c>
      <c r="M27">
        <f>M26+26</f>
        <v>4430</v>
      </c>
    </row>
    <row r="28" spans="1:17" ht="14.25" customHeight="1" x14ac:dyDescent="0.2">
      <c r="A28" s="16" t="s">
        <v>0</v>
      </c>
      <c r="B28" s="17"/>
      <c r="C28" s="17"/>
      <c r="D28" s="17"/>
      <c r="E28" s="17"/>
      <c r="F28" s="17"/>
      <c r="G28" s="17"/>
      <c r="H28" s="18"/>
      <c r="I28" s="22" t="s">
        <v>59</v>
      </c>
      <c r="J28" s="10" t="s">
        <v>1</v>
      </c>
      <c r="K28" s="11"/>
      <c r="L28" s="11"/>
      <c r="M28" s="11"/>
      <c r="N28" s="11"/>
      <c r="O28" s="11"/>
      <c r="P28" s="11"/>
      <c r="Q28" s="12"/>
    </row>
    <row r="29" spans="1:17" ht="14.25" customHeight="1" x14ac:dyDescent="0.2">
      <c r="A29" s="19"/>
      <c r="B29" s="20"/>
      <c r="C29" s="20"/>
      <c r="D29" s="20"/>
      <c r="E29" s="20"/>
      <c r="F29" s="20"/>
      <c r="G29" s="20"/>
      <c r="H29" s="21"/>
      <c r="I29" s="23"/>
      <c r="J29" s="13"/>
      <c r="K29" s="14"/>
      <c r="L29" s="14"/>
      <c r="M29" s="14"/>
      <c r="N29" s="14"/>
      <c r="O29" s="14"/>
      <c r="P29" s="14"/>
      <c r="Q29" s="15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16" t="s">
        <v>0</v>
      </c>
      <c r="B42" s="17"/>
      <c r="C42" s="17"/>
      <c r="D42" s="17"/>
      <c r="E42" s="17"/>
      <c r="F42" s="17"/>
      <c r="G42" s="17"/>
      <c r="H42" s="18"/>
      <c r="I42" s="7" t="s">
        <v>62</v>
      </c>
      <c r="J42" s="10" t="s">
        <v>1</v>
      </c>
      <c r="K42" s="11"/>
      <c r="L42" s="11"/>
      <c r="M42" s="11"/>
      <c r="N42" s="11"/>
      <c r="O42" s="11"/>
      <c r="P42" s="11"/>
      <c r="Q42" s="12"/>
    </row>
    <row r="43" spans="1:17" ht="14.25" customHeight="1" x14ac:dyDescent="0.2">
      <c r="A43" s="19"/>
      <c r="B43" s="20"/>
      <c r="C43" s="20"/>
      <c r="D43" s="20"/>
      <c r="E43" s="20"/>
      <c r="F43" s="20"/>
      <c r="G43" s="20"/>
      <c r="H43" s="21"/>
      <c r="I43" s="8"/>
      <c r="J43" s="13"/>
      <c r="K43" s="14"/>
      <c r="L43" s="14"/>
      <c r="M43" s="14"/>
      <c r="N43" s="14"/>
      <c r="O43" s="14"/>
      <c r="P43" s="14"/>
      <c r="Q43" s="15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8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8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8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8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8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8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8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8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8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8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8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8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8"/>
    </row>
    <row r="57" spans="1:17" ht="14.25" customHeight="1" x14ac:dyDescent="0.2">
      <c r="B57" t="s">
        <v>107</v>
      </c>
      <c r="C57" t="s">
        <v>125</v>
      </c>
      <c r="D57">
        <f>D56+4</f>
        <v>680</v>
      </c>
      <c r="F57" t="s">
        <v>105</v>
      </c>
      <c r="I57" s="8"/>
    </row>
    <row r="58" spans="1:17" x14ac:dyDescent="0.2">
      <c r="B58" t="s">
        <v>115</v>
      </c>
      <c r="D58">
        <f>D57+420</f>
        <v>1100</v>
      </c>
      <c r="I58" s="9"/>
    </row>
    <row r="59" spans="1:17" ht="14.25" customHeight="1" x14ac:dyDescent="0.2">
      <c r="A59" s="16" t="s">
        <v>0</v>
      </c>
      <c r="B59" s="17"/>
      <c r="C59" s="17"/>
      <c r="D59" s="17"/>
      <c r="E59" s="17"/>
      <c r="F59" s="17"/>
      <c r="G59" s="17"/>
      <c r="H59" s="18"/>
      <c r="I59" s="7" t="s">
        <v>98</v>
      </c>
      <c r="J59" s="10" t="s">
        <v>1</v>
      </c>
      <c r="K59" s="11"/>
      <c r="L59" s="11"/>
      <c r="M59" s="11"/>
      <c r="N59" s="11"/>
      <c r="O59" s="11"/>
      <c r="P59" s="11"/>
      <c r="Q59" s="12"/>
    </row>
    <row r="60" spans="1:17" ht="14.25" customHeight="1" x14ac:dyDescent="0.2">
      <c r="A60" s="19"/>
      <c r="B60" s="20"/>
      <c r="C60" s="20"/>
      <c r="D60" s="20"/>
      <c r="E60" s="20"/>
      <c r="F60" s="20"/>
      <c r="G60" s="20"/>
      <c r="H60" s="21"/>
      <c r="I60" s="8"/>
      <c r="J60" s="13"/>
      <c r="K60" s="14"/>
      <c r="L60" s="14"/>
      <c r="M60" s="14"/>
      <c r="N60" s="14"/>
      <c r="O60" s="14"/>
      <c r="P60" s="14"/>
      <c r="Q60" s="15"/>
    </row>
    <row r="61" spans="1:17" ht="14.25" customHeight="1" x14ac:dyDescent="0.2">
      <c r="B61" t="s">
        <v>24</v>
      </c>
      <c r="C61" t="s">
        <v>2</v>
      </c>
      <c r="D61">
        <f>D58+100</f>
        <v>1200</v>
      </c>
      <c r="F61" t="s">
        <v>3</v>
      </c>
      <c r="I61" s="8"/>
      <c r="K61" t="s">
        <v>14</v>
      </c>
      <c r="L61" t="s">
        <v>2</v>
      </c>
      <c r="M61">
        <f>M46+196</f>
        <v>4800</v>
      </c>
      <c r="O61" t="s">
        <v>15</v>
      </c>
    </row>
    <row r="62" spans="1:17" ht="14.25" customHeight="1" x14ac:dyDescent="0.2">
      <c r="B62" t="s">
        <v>5</v>
      </c>
      <c r="C62" t="s">
        <v>79</v>
      </c>
      <c r="D62">
        <f>D61+2</f>
        <v>1202</v>
      </c>
      <c r="F62" t="s">
        <v>80</v>
      </c>
      <c r="I62" s="8"/>
      <c r="K62" t="s">
        <v>16</v>
      </c>
      <c r="L62" t="s">
        <v>17</v>
      </c>
      <c r="M62">
        <f>M61+2</f>
        <v>4802</v>
      </c>
      <c r="O62" t="s">
        <v>18</v>
      </c>
    </row>
    <row r="63" spans="1:17" ht="14.25" customHeight="1" x14ac:dyDescent="0.2">
      <c r="I63" s="8"/>
    </row>
    <row r="64" spans="1:17" ht="14.25" customHeight="1" x14ac:dyDescent="0.2">
      <c r="I64" s="8"/>
    </row>
    <row r="65" spans="9:9" ht="14.25" customHeight="1" x14ac:dyDescent="0.2">
      <c r="I65" s="8"/>
    </row>
    <row r="66" spans="9:9" ht="14.25" customHeight="1" x14ac:dyDescent="0.2">
      <c r="I66" s="8"/>
    </row>
    <row r="67" spans="9:9" ht="14.25" customHeight="1" x14ac:dyDescent="0.2">
      <c r="I67" s="8"/>
    </row>
    <row r="68" spans="9:9" ht="14.25" customHeight="1" x14ac:dyDescent="0.2">
      <c r="I68" s="8"/>
    </row>
    <row r="69" spans="9:9" ht="14.25" customHeight="1" x14ac:dyDescent="0.2">
      <c r="I69" s="8"/>
    </row>
    <row r="70" spans="9:9" ht="14.25" customHeight="1" x14ac:dyDescent="0.2">
      <c r="I70" s="8"/>
    </row>
    <row r="71" spans="9:9" ht="14.25" customHeight="1" x14ac:dyDescent="0.2">
      <c r="I71" s="8"/>
    </row>
    <row r="72" spans="9:9" ht="14.25" customHeight="1" x14ac:dyDescent="0.2">
      <c r="I72" s="8"/>
    </row>
    <row r="73" spans="9:9" ht="14.25" customHeight="1" x14ac:dyDescent="0.2">
      <c r="I73" s="9"/>
    </row>
  </sheetData>
  <mergeCells count="24">
    <mergeCell ref="A59:H60"/>
    <mergeCell ref="I59:I73"/>
    <mergeCell ref="J59:Q60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8"/>
    <mergeCell ref="A2:H3"/>
    <mergeCell ref="I2:I4"/>
    <mergeCell ref="J2:Q3"/>
    <mergeCell ref="A5:H6"/>
    <mergeCell ref="J5:Q6"/>
    <mergeCell ref="J42:Q4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C071-6894-4CCD-95BD-3C7B8A4B2A16}">
  <dimension ref="A1:Q57"/>
  <sheetViews>
    <sheetView topLeftCell="A4" zoomScaleNormal="100" workbookViewId="0">
      <selection activeCell="C46" sqref="C46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16" t="s">
        <v>0</v>
      </c>
      <c r="B2" s="17"/>
      <c r="C2" s="17"/>
      <c r="D2" s="17"/>
      <c r="E2" s="17"/>
      <c r="F2" s="17"/>
      <c r="G2" s="17"/>
      <c r="H2" s="18"/>
      <c r="I2" s="7" t="s">
        <v>21</v>
      </c>
      <c r="J2" s="10" t="s">
        <v>1</v>
      </c>
      <c r="K2" s="11"/>
      <c r="L2" s="11"/>
      <c r="M2" s="11"/>
      <c r="N2" s="11"/>
      <c r="O2" s="11"/>
      <c r="P2" s="11"/>
      <c r="Q2" s="12"/>
    </row>
    <row r="3" spans="1:17" ht="14.25" customHeight="1" x14ac:dyDescent="0.2">
      <c r="A3" s="19"/>
      <c r="B3" s="20"/>
      <c r="C3" s="20"/>
      <c r="D3" s="20"/>
      <c r="E3" s="20"/>
      <c r="F3" s="20"/>
      <c r="G3" s="20"/>
      <c r="H3" s="21"/>
      <c r="I3" s="8"/>
      <c r="J3" s="13"/>
      <c r="K3" s="14"/>
      <c r="L3" s="14"/>
      <c r="M3" s="14"/>
      <c r="N3" s="14"/>
      <c r="O3" s="14"/>
      <c r="P3" s="14"/>
      <c r="Q3" s="15"/>
    </row>
    <row r="4" spans="1:17" ht="14.25" customHeight="1" x14ac:dyDescent="0.2">
      <c r="B4" t="s">
        <v>123</v>
      </c>
      <c r="D4">
        <v>0</v>
      </c>
      <c r="H4">
        <v>200</v>
      </c>
      <c r="I4" s="8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16" t="s">
        <v>0</v>
      </c>
      <c r="B5" s="17"/>
      <c r="C5" s="17"/>
      <c r="D5" s="17"/>
      <c r="E5" s="17"/>
      <c r="F5" s="17"/>
      <c r="G5" s="17"/>
      <c r="H5" s="18"/>
      <c r="I5" s="7" t="s">
        <v>40</v>
      </c>
      <c r="J5" s="10" t="s">
        <v>1</v>
      </c>
      <c r="K5" s="11"/>
      <c r="L5" s="11"/>
      <c r="M5" s="11"/>
      <c r="N5" s="11"/>
      <c r="O5" s="11"/>
      <c r="P5" s="11"/>
      <c r="Q5" s="12"/>
    </row>
    <row r="6" spans="1:17" ht="14.25" customHeight="1" x14ac:dyDescent="0.2">
      <c r="A6" s="19"/>
      <c r="B6" s="20"/>
      <c r="C6" s="20"/>
      <c r="D6" s="20"/>
      <c r="E6" s="20"/>
      <c r="F6" s="20"/>
      <c r="G6" s="20"/>
      <c r="H6" s="21"/>
      <c r="I6" s="8"/>
      <c r="J6" s="13"/>
      <c r="K6" s="14"/>
      <c r="L6" s="14"/>
      <c r="M6" s="14"/>
      <c r="N6" s="14"/>
      <c r="O6" s="14"/>
      <c r="P6" s="14"/>
      <c r="Q6" s="15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8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8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9"/>
      <c r="K9" t="s">
        <v>87</v>
      </c>
      <c r="M9">
        <f>M8+2</f>
        <v>4104</v>
      </c>
    </row>
    <row r="10" spans="1:17" ht="14.25" customHeight="1" x14ac:dyDescent="0.2">
      <c r="A10" s="16" t="s">
        <v>0</v>
      </c>
      <c r="B10" s="17"/>
      <c r="C10" s="17"/>
      <c r="D10" s="17"/>
      <c r="E10" s="17"/>
      <c r="F10" s="17"/>
      <c r="G10" s="17"/>
      <c r="H10" s="18"/>
      <c r="I10" s="7" t="s">
        <v>76</v>
      </c>
      <c r="J10" s="10" t="s">
        <v>1</v>
      </c>
      <c r="K10" s="11"/>
      <c r="L10" s="11"/>
      <c r="M10" s="11"/>
      <c r="N10" s="11"/>
      <c r="O10" s="11"/>
      <c r="P10" s="11"/>
      <c r="Q10" s="12"/>
    </row>
    <row r="11" spans="1:17" ht="14.25" customHeight="1" x14ac:dyDescent="0.2">
      <c r="A11" s="19"/>
      <c r="B11" s="20"/>
      <c r="C11" s="20"/>
      <c r="D11" s="20"/>
      <c r="E11" s="20"/>
      <c r="F11" s="20"/>
      <c r="G11" s="20"/>
      <c r="H11" s="21"/>
      <c r="I11" s="8"/>
      <c r="J11" s="13"/>
      <c r="K11" s="14"/>
      <c r="L11" s="14"/>
      <c r="M11" s="14"/>
      <c r="N11" s="14"/>
      <c r="O11" s="14"/>
      <c r="P11" s="14"/>
      <c r="Q11" s="15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8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8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8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9"/>
    </row>
    <row r="16" spans="1:17" ht="14.25" customHeight="1" x14ac:dyDescent="0.2">
      <c r="A16" s="16" t="s">
        <v>0</v>
      </c>
      <c r="B16" s="17"/>
      <c r="C16" s="17"/>
      <c r="D16" s="17"/>
      <c r="E16" s="17"/>
      <c r="F16" s="17"/>
      <c r="G16" s="17"/>
      <c r="H16" s="18"/>
      <c r="I16" s="7" t="s">
        <v>60</v>
      </c>
      <c r="J16" s="10" t="s">
        <v>1</v>
      </c>
      <c r="K16" s="11"/>
      <c r="L16" s="11"/>
      <c r="M16" s="11"/>
      <c r="N16" s="11"/>
      <c r="O16" s="11"/>
      <c r="P16" s="11"/>
      <c r="Q16" s="12"/>
    </row>
    <row r="17" spans="1:17" ht="14.25" customHeight="1" x14ac:dyDescent="0.2">
      <c r="A17" s="19"/>
      <c r="B17" s="20"/>
      <c r="C17" s="20"/>
      <c r="D17" s="20"/>
      <c r="E17" s="20"/>
      <c r="F17" s="20"/>
      <c r="G17" s="20"/>
      <c r="H17" s="21"/>
      <c r="I17" s="8"/>
      <c r="J17" s="13"/>
      <c r="K17" s="14"/>
      <c r="L17" s="14"/>
      <c r="M17" s="14"/>
      <c r="N17" s="14"/>
      <c r="O17" s="14"/>
      <c r="P17" s="14"/>
      <c r="Q17" s="15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8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8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8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9"/>
    </row>
    <row r="22" spans="1:17" ht="14.25" customHeight="1" x14ac:dyDescent="0.2">
      <c r="A22" s="16" t="s">
        <v>0</v>
      </c>
      <c r="B22" s="17"/>
      <c r="C22" s="17"/>
      <c r="D22" s="17"/>
      <c r="E22" s="17"/>
      <c r="F22" s="17"/>
      <c r="G22" s="17"/>
      <c r="H22" s="18"/>
      <c r="I22" s="7" t="s">
        <v>82</v>
      </c>
      <c r="J22" s="10" t="s">
        <v>1</v>
      </c>
      <c r="K22" s="11"/>
      <c r="L22" s="11"/>
      <c r="M22" s="11"/>
      <c r="N22" s="11"/>
      <c r="O22" s="11"/>
      <c r="P22" s="11"/>
      <c r="Q22" s="12"/>
    </row>
    <row r="23" spans="1:17" ht="14.25" customHeight="1" x14ac:dyDescent="0.2">
      <c r="A23" s="19"/>
      <c r="B23" s="20"/>
      <c r="C23" s="20"/>
      <c r="D23" s="20"/>
      <c r="E23" s="20"/>
      <c r="F23" s="20"/>
      <c r="G23" s="20"/>
      <c r="H23" s="21"/>
      <c r="I23" s="8"/>
      <c r="J23" s="13"/>
      <c r="K23" s="14"/>
      <c r="L23" s="14"/>
      <c r="M23" s="14"/>
      <c r="N23" s="14"/>
      <c r="O23" s="14"/>
      <c r="P23" s="14"/>
      <c r="Q23" s="15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8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8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8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9"/>
      <c r="K27" t="s">
        <v>90</v>
      </c>
      <c r="M27">
        <f>M26+26</f>
        <v>4430</v>
      </c>
    </row>
    <row r="28" spans="1:17" ht="14.25" customHeight="1" x14ac:dyDescent="0.2">
      <c r="A28" s="16" t="s">
        <v>0</v>
      </c>
      <c r="B28" s="17"/>
      <c r="C28" s="17"/>
      <c r="D28" s="17"/>
      <c r="E28" s="17"/>
      <c r="F28" s="17"/>
      <c r="G28" s="17"/>
      <c r="H28" s="18"/>
      <c r="I28" s="22" t="s">
        <v>59</v>
      </c>
      <c r="J28" s="10" t="s">
        <v>1</v>
      </c>
      <c r="K28" s="11"/>
      <c r="L28" s="11"/>
      <c r="M28" s="11"/>
      <c r="N28" s="11"/>
      <c r="O28" s="11"/>
      <c r="P28" s="11"/>
      <c r="Q28" s="12"/>
    </row>
    <row r="29" spans="1:17" ht="14.25" customHeight="1" x14ac:dyDescent="0.2">
      <c r="A29" s="19"/>
      <c r="B29" s="20"/>
      <c r="C29" s="20"/>
      <c r="D29" s="20"/>
      <c r="E29" s="20"/>
      <c r="F29" s="20"/>
      <c r="G29" s="20"/>
      <c r="H29" s="21"/>
      <c r="I29" s="23"/>
      <c r="J29" s="13"/>
      <c r="K29" s="14"/>
      <c r="L29" s="14"/>
      <c r="M29" s="14"/>
      <c r="N29" s="14"/>
      <c r="O29" s="14"/>
      <c r="P29" s="14"/>
      <c r="Q29" s="15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16" t="s">
        <v>0</v>
      </c>
      <c r="B42" s="17"/>
      <c r="C42" s="17"/>
      <c r="D42" s="17"/>
      <c r="E42" s="17"/>
      <c r="F42" s="17"/>
      <c r="G42" s="17"/>
      <c r="H42" s="18"/>
      <c r="I42" s="7" t="s">
        <v>62</v>
      </c>
      <c r="J42" s="10" t="s">
        <v>1</v>
      </c>
      <c r="K42" s="11"/>
      <c r="L42" s="11"/>
      <c r="M42" s="11"/>
      <c r="N42" s="11"/>
      <c r="O42" s="11"/>
      <c r="P42" s="11"/>
      <c r="Q42" s="12"/>
    </row>
    <row r="43" spans="1:17" ht="14.25" customHeight="1" x14ac:dyDescent="0.2">
      <c r="A43" s="19"/>
      <c r="B43" s="20"/>
      <c r="C43" s="20"/>
      <c r="D43" s="20"/>
      <c r="E43" s="20"/>
      <c r="F43" s="20"/>
      <c r="G43" s="20"/>
      <c r="H43" s="21"/>
      <c r="I43" s="8"/>
      <c r="J43" s="13"/>
      <c r="K43" s="14"/>
      <c r="L43" s="14"/>
      <c r="M43" s="14"/>
      <c r="N43" s="14"/>
      <c r="O43" s="14"/>
      <c r="P43" s="14"/>
      <c r="Q43" s="15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8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8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107</v>
      </c>
      <c r="C46" t="s">
        <v>124</v>
      </c>
      <c r="D46">
        <f>D45+2</f>
        <v>604</v>
      </c>
      <c r="F46" t="s">
        <v>105</v>
      </c>
      <c r="I46" s="8"/>
    </row>
    <row r="47" spans="1:17" ht="14.25" customHeight="1" x14ac:dyDescent="0.2">
      <c r="I47" s="8"/>
    </row>
    <row r="48" spans="1:17" ht="14.25" customHeight="1" x14ac:dyDescent="0.2">
      <c r="I48" s="8"/>
    </row>
    <row r="49" spans="9:9" ht="14.25" customHeight="1" x14ac:dyDescent="0.2">
      <c r="I49" s="8"/>
    </row>
    <row r="50" spans="9:9" ht="14.25" customHeight="1" x14ac:dyDescent="0.2">
      <c r="I50" s="8"/>
    </row>
    <row r="51" spans="9:9" ht="14.25" customHeight="1" x14ac:dyDescent="0.2">
      <c r="I51" s="8"/>
    </row>
    <row r="52" spans="9:9" ht="14.25" customHeight="1" x14ac:dyDescent="0.2">
      <c r="I52" s="8"/>
    </row>
    <row r="53" spans="9:9" ht="14.25" customHeight="1" x14ac:dyDescent="0.2">
      <c r="I53" s="8"/>
    </row>
    <row r="54" spans="9:9" ht="14.25" customHeight="1" x14ac:dyDescent="0.2">
      <c r="I54" s="8"/>
    </row>
    <row r="55" spans="9:9" ht="14.25" customHeight="1" x14ac:dyDescent="0.2">
      <c r="I55" s="8"/>
    </row>
    <row r="56" spans="9:9" ht="14.25" customHeight="1" x14ac:dyDescent="0.2">
      <c r="I56" s="8"/>
    </row>
    <row r="57" spans="9:9" x14ac:dyDescent="0.2">
      <c r="I57" s="9"/>
    </row>
  </sheetData>
  <mergeCells count="21"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I5:I9"/>
    <mergeCell ref="J5:Q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19B-5510-4255-9F9D-936634CAF6CC}">
  <dimension ref="E10:G15"/>
  <sheetViews>
    <sheetView workbookViewId="0">
      <selection activeCell="J27" sqref="J27"/>
    </sheetView>
  </sheetViews>
  <sheetFormatPr defaultRowHeight="14.25" x14ac:dyDescent="0.2"/>
  <cols>
    <col min="2" max="2" width="12.5" bestFit="1" customWidth="1"/>
    <col min="5" max="5" width="12.5" bestFit="1" customWidth="1"/>
    <col min="6" max="6" width="9" bestFit="1" customWidth="1"/>
  </cols>
  <sheetData>
    <row r="10" spans="5:7" x14ac:dyDescent="0.2">
      <c r="E10" s="4" t="s">
        <v>7</v>
      </c>
      <c r="F10" s="4" t="s">
        <v>8</v>
      </c>
      <c r="G10" s="4" t="s">
        <v>108</v>
      </c>
    </row>
    <row r="11" spans="5:7" x14ac:dyDescent="0.2">
      <c r="E11" s="5" t="s">
        <v>99</v>
      </c>
      <c r="F11" s="5" t="s">
        <v>103</v>
      </c>
      <c r="G11" s="5" t="s">
        <v>109</v>
      </c>
    </row>
    <row r="12" spans="5:7" x14ac:dyDescent="0.2">
      <c r="E12" s="5" t="s">
        <v>100</v>
      </c>
      <c r="F12" s="5" t="s">
        <v>103</v>
      </c>
      <c r="G12" s="5" t="s">
        <v>110</v>
      </c>
    </row>
    <row r="13" spans="5:7" x14ac:dyDescent="0.2">
      <c r="E13" s="5" t="s">
        <v>113</v>
      </c>
      <c r="F13" s="5" t="s">
        <v>103</v>
      </c>
      <c r="G13" s="5" t="s">
        <v>114</v>
      </c>
    </row>
    <row r="14" spans="5:7" x14ac:dyDescent="0.2">
      <c r="E14" s="5" t="s">
        <v>101</v>
      </c>
      <c r="F14" s="5" t="s">
        <v>104</v>
      </c>
      <c r="G14" s="5" t="s">
        <v>111</v>
      </c>
    </row>
    <row r="15" spans="5:7" x14ac:dyDescent="0.2">
      <c r="E15" s="5" t="s">
        <v>102</v>
      </c>
      <c r="F15" s="5" t="s">
        <v>104</v>
      </c>
      <c r="G15" s="5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修订说明</vt:lpstr>
      <vt:lpstr>下箱体上线</vt:lpstr>
      <vt:lpstr>下箱体涂胶</vt:lpstr>
      <vt:lpstr>模组入箱(LY_PL57使用)</vt:lpstr>
      <vt:lpstr>肩部涂胶</vt:lpstr>
      <vt:lpstr>肩部涂胶Array参数</vt:lpstr>
      <vt:lpstr>压条自动加压和拧紧</vt:lpstr>
      <vt:lpstr>上盖拧紧</vt:lpstr>
      <vt:lpstr>拧紧Array参数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2026-03-04T06:52:58Z</dcterms:modified>
</cp:coreProperties>
</file>