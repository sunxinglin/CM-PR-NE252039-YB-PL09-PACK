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 tabRatio="500" activeTab="5"/>
  </bookViews>
  <sheets>
    <sheet name="修订说明" sheetId="1" r:id="rId1"/>
    <sheet name="下箱体上线" sheetId="2" r:id="rId2"/>
    <sheet name="下箱体涂胶" sheetId="3" r:id="rId3"/>
    <sheet name="肩部涂胶" sheetId="5" r:id="rId4"/>
    <sheet name="压条自动加压和拧紧" sheetId="6" r:id="rId5"/>
    <sheet name="上盖拧紧" sheetId="7" r:id="rId6"/>
    <sheet name="涂胶Array参数" sheetId="8" r:id="rId7"/>
    <sheet name="拧紧Array参数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<sst xmlns="http://schemas.openxmlformats.org/spreadsheetml/2006/main" count="1163" uniqueCount="176">
  <si>
    <t>版本号</t>
  </si>
  <si>
    <t>修订说明</t>
  </si>
  <si>
    <t>v1.0</t>
  </si>
  <si>
    <t>初始版</t>
  </si>
  <si>
    <t>v1.1</t>
  </si>
  <si>
    <t>应客户要求，将PLC和上位机的交互DB地址由2个DB合并为1个DB</t>
  </si>
  <si>
    <t>暂定PLC和上位机的DB地址都为200；PLC的点位从0开始至4000结束，上位机的点位从4000开始至8000结束</t>
  </si>
  <si>
    <t>v1.2</t>
  </si>
  <si>
    <t>下箱体上线：</t>
  </si>
  <si>
    <t>申请SFC上位机由1个条码增加至2个条码；</t>
  </si>
  <si>
    <t>增加申请打印条码请求；PLC给出条码和打印模板号同时给出申请打印条码请求，上位机调用打印机进行打印，并反馈出条码的打印机号</t>
  </si>
  <si>
    <t>增加打印机1，2的报警状态；</t>
  </si>
  <si>
    <t>v1.3</t>
  </si>
  <si>
    <t>肩部涂胶：</t>
  </si>
  <si>
    <t>过程参数收集参数类型修改为肩部涂胶Array参数</t>
  </si>
  <si>
    <t>数量由原来的10个变为20组肩部涂胶Array参数(相当于80个参数)</t>
  </si>
  <si>
    <t>v1.4</t>
  </si>
  <si>
    <t>同步下箱体涂胶和肩部涂胶的点位：涂胶的首件数据由10条增加至21条、涂胶站的过程参收收集的数组数据的下标从0开始；拧紧站的过程参数收集的数组数据的下标从1开始</t>
  </si>
  <si>
    <t>V1.5</t>
  </si>
  <si>
    <t>所有工位增加请求刷卡登录</t>
  </si>
  <si>
    <t>序号</t>
  </si>
  <si>
    <t>变量名</t>
  </si>
  <si>
    <t>数据类型</t>
  </si>
  <si>
    <t>起始地址</t>
  </si>
  <si>
    <t>位</t>
  </si>
  <si>
    <t>定义</t>
  </si>
  <si>
    <t>长度</t>
  </si>
  <si>
    <t>DB</t>
  </si>
  <si>
    <t>接口</t>
  </si>
  <si>
    <t>PLC====&gt;上位机</t>
  </si>
  <si>
    <t>通用</t>
  </si>
  <si>
    <t>上位机====&gt;PLC</t>
  </si>
  <si>
    <t>预留100个字节</t>
  </si>
  <si>
    <t>Heartbeat</t>
  </si>
  <si>
    <t>Bool</t>
  </si>
  <si>
    <t>心跳，上位机每500MS取反写入一次</t>
  </si>
  <si>
    <t>进站</t>
  </si>
  <si>
    <t>StartSignal</t>
  </si>
  <si>
    <t>触发信号：上位机检测上升沿后进行读取</t>
  </si>
  <si>
    <t>FinishSignal</t>
  </si>
  <si>
    <t>完成信号，PLC收到完成信号后进行判断</t>
  </si>
  <si>
    <t>SFC</t>
  </si>
  <si>
    <t>String[24]</t>
  </si>
  <si>
    <t>PACK码（String[24]实际占位26个字节）</t>
  </si>
  <si>
    <t>ResCode</t>
  </si>
  <si>
    <t>Int</t>
  </si>
  <si>
    <t>工厂MES返回代码，＞0NG，＝0合格。</t>
  </si>
  <si>
    <t>预留72个字节</t>
  </si>
  <si>
    <t>预留96个字节</t>
  </si>
  <si>
    <t>物料校验</t>
  </si>
  <si>
    <t>Code</t>
  </si>
  <si>
    <t>物料码（String[24]实际占位26个字节）</t>
  </si>
  <si>
    <t>预留46个字节</t>
  </si>
  <si>
    <t>装配</t>
  </si>
  <si>
    <t>PACK码</t>
  </si>
  <si>
    <t>ModuleCode</t>
  </si>
  <si>
    <t>模组码</t>
  </si>
  <si>
    <t>申请SFC</t>
  </si>
  <si>
    <t>预留98个字节</t>
  </si>
  <si>
    <t>Code1</t>
  </si>
  <si>
    <t>申请的条码String[24]实际占位26个字节）</t>
  </si>
  <si>
    <t>Code2</t>
  </si>
  <si>
    <t>预留44个字节</t>
  </si>
  <si>
    <t>首件</t>
  </si>
  <si>
    <t>SJSJSJ1</t>
  </si>
  <si>
    <t>Real</t>
  </si>
  <si>
    <t>首件数据收集1</t>
  </si>
  <si>
    <t>SJSJSJ2</t>
  </si>
  <si>
    <t>首件数据收集2</t>
  </si>
  <si>
    <t>SJSJSJ3</t>
  </si>
  <si>
    <t>首件数据收集3</t>
  </si>
  <si>
    <t>SJSJSJ4</t>
  </si>
  <si>
    <t>首件数据收集4</t>
  </si>
  <si>
    <t>SJSJSJ5</t>
  </si>
  <si>
    <t>首件数据收集5</t>
  </si>
  <si>
    <t>SJSJSJ6</t>
  </si>
  <si>
    <t>首件数据收集6</t>
  </si>
  <si>
    <t>SJSJSJ7</t>
  </si>
  <si>
    <t>首件数据收集7</t>
  </si>
  <si>
    <t>SJSJSJ8</t>
  </si>
  <si>
    <t>首件数据收集8</t>
  </si>
  <si>
    <t>SJSJSJ9</t>
  </si>
  <si>
    <t>首件数据收集9</t>
  </si>
  <si>
    <t>SJSJSJ10</t>
  </si>
  <si>
    <t>首件数据收集10</t>
  </si>
  <si>
    <t>预留58个字节</t>
  </si>
  <si>
    <t>过程参数收集</t>
  </si>
  <si>
    <t>JRKSSJ</t>
  </si>
  <si>
    <t>DTL</t>
  </si>
  <si>
    <t>开始时间</t>
  </si>
  <si>
    <t>GCCS1</t>
  </si>
  <si>
    <t>过程参数1</t>
  </si>
  <si>
    <t>GCCS2</t>
  </si>
  <si>
    <t>过程参数2</t>
  </si>
  <si>
    <t>GCCS3</t>
  </si>
  <si>
    <t>过程参数3</t>
  </si>
  <si>
    <t>GCCS4</t>
  </si>
  <si>
    <t>过程参数4</t>
  </si>
  <si>
    <t>GCCS5</t>
  </si>
  <si>
    <t>过程参数5</t>
  </si>
  <si>
    <t>GCCS6</t>
  </si>
  <si>
    <t>过程参数6</t>
  </si>
  <si>
    <t>GCCS7</t>
  </si>
  <si>
    <t>过程参数7</t>
  </si>
  <si>
    <t>GCCS8</t>
  </si>
  <si>
    <t>过程参数8</t>
  </si>
  <si>
    <t>GCCS9</t>
  </si>
  <si>
    <t>过程参数9</t>
  </si>
  <si>
    <t>GCCS10</t>
  </si>
  <si>
    <t>过程参数10</t>
  </si>
  <si>
    <t>预留120个字节</t>
  </si>
  <si>
    <t>请求刷卡登录</t>
  </si>
  <si>
    <t>UserCardId</t>
  </si>
  <si>
    <r>
      <rPr>
        <sz val="10"/>
        <color rgb="FF000000"/>
        <rFont val="Microsoft YaHei"/>
        <charset val="134"/>
      </rPr>
      <t>卡号</t>
    </r>
    <r>
      <rPr>
        <sz val="11"/>
        <rFont val="等线"/>
        <charset val="134"/>
      </rPr>
      <t>(String[24]实际占位26个字节）</t>
    </r>
  </si>
  <si>
    <t>WorkId</t>
  </si>
  <si>
    <r>
      <rPr>
        <sz val="10"/>
        <color rgb="FF000000"/>
        <rFont val="Microsoft YaHei"/>
        <charset val="134"/>
      </rPr>
      <t>工号</t>
    </r>
    <r>
      <rPr>
        <sz val="11"/>
        <rFont val="等线"/>
        <charset val="134"/>
      </rPr>
      <t>(String[24]实际占位26个字节）</t>
    </r>
  </si>
  <si>
    <t>AccessLevel</t>
  </si>
  <si>
    <t>int</t>
  </si>
  <si>
    <t>权限等级</t>
  </si>
  <si>
    <t>预留70个字节</t>
  </si>
  <si>
    <t>SJSJSJ0</t>
  </si>
  <si>
    <t>首件数据收集0</t>
  </si>
  <si>
    <t>SJSJSJ11</t>
  </si>
  <si>
    <t>首件数据收集11</t>
  </si>
  <si>
    <t>SJSJSJ12</t>
  </si>
  <si>
    <t>首件数据收集12</t>
  </si>
  <si>
    <t>SJSJSJ13</t>
  </si>
  <si>
    <t>首件数据收集13</t>
  </si>
  <si>
    <t>SJSJSJ14</t>
  </si>
  <si>
    <t>首件数据收集14</t>
  </si>
  <si>
    <t>SJSJSJ15</t>
  </si>
  <si>
    <t>首件数据收集15</t>
  </si>
  <si>
    <t>SJSJSJ16</t>
  </si>
  <si>
    <t>首件数据收集16</t>
  </si>
  <si>
    <t>SJSJSJ17</t>
  </si>
  <si>
    <t>首件数据收集17</t>
  </si>
  <si>
    <t>SJSJSJ18</t>
  </si>
  <si>
    <t>首件数据收集18</t>
  </si>
  <si>
    <t>SJSJSJ19</t>
  </si>
  <si>
    <t>首件数据收集19</t>
  </si>
  <si>
    <t>SJSJSJ20</t>
  </si>
  <si>
    <t>首件数据收集20</t>
  </si>
  <si>
    <t>预留34个字节</t>
  </si>
  <si>
    <t>预留196个字节</t>
  </si>
  <si>
    <t>GCCS</t>
  </si>
  <si>
    <t>Array[0...20] of 涂胶Array参数</t>
  </si>
  <si>
    <t>0...20是21条数据，下标从0开始</t>
  </si>
  <si>
    <t>预留40个字节</t>
  </si>
  <si>
    <t>获取参数</t>
  </si>
  <si>
    <t>预留36个字节</t>
  </si>
  <si>
    <t>TJGCCS</t>
  </si>
  <si>
    <t>Array[1...200] of Real</t>
  </si>
  <si>
    <t>1…200是200条,下标从1开始</t>
  </si>
  <si>
    <t>m</t>
  </si>
  <si>
    <t>1...200是200条数据，下标从1开始</t>
  </si>
  <si>
    <t>NJJG</t>
  </si>
  <si>
    <t>Array[1…30] of 拧紧Array参数</t>
  </si>
  <si>
    <t>1...30是30条数据，下标从1开始</t>
  </si>
  <si>
    <t>校验涂胶超时</t>
  </si>
  <si>
    <t>Array[1…150] of 拧紧Array参数</t>
  </si>
  <si>
    <t>1...150是150条数据，下标从1开始</t>
  </si>
  <si>
    <t>说明</t>
  </si>
  <si>
    <t>A胶流量</t>
  </si>
  <si>
    <t>B胶流量</t>
  </si>
  <si>
    <t>AB胶比例</t>
  </si>
  <si>
    <t>AB胶总胶重</t>
  </si>
  <si>
    <t>ResultOK</t>
  </si>
  <si>
    <t>拧紧结果</t>
  </si>
  <si>
    <t>OrderNo</t>
  </si>
  <si>
    <t>螺丝序号</t>
  </si>
  <si>
    <t>ProgramNo</t>
  </si>
  <si>
    <t>程序号</t>
  </si>
  <si>
    <t>TorqueResult</t>
  </si>
  <si>
    <t>扭矩结果</t>
  </si>
  <si>
    <t>AngleResult</t>
  </si>
  <si>
    <t>角度结果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</si>
</sst>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rgb="FF000000"/>
      <name val="Microsoft YaHei"/>
      <charset val="134"/>
    </font>
    <font>
      <sz val="11"/>
      <color rgb="FF9C5700"/>
      <name val="等线"/>
      <charset val="134"/>
    </font>
    <font>
      <sz val="11"/>
      <color rgb="FF9C0006"/>
      <name val="等线"/>
      <charset val="134"/>
    </font>
    <font>
      <b/>
      <sz val="14"/>
      <color rgb="FF000000"/>
      <name val="等线"/>
      <charset val="134"/>
    </font>
    <font>
      <b/>
      <sz val="20"/>
      <color rgb="FF000000"/>
      <name val="等线"/>
      <charset val="134"/>
    </font>
    <font>
      <sz val="11"/>
      <color rgb="FF000000"/>
      <name val="等线"/>
      <charset val="134"/>
    </font>
    <font>
      <sz val="10"/>
      <color rgb="FF000000"/>
      <name val="Arial"/>
      <charset val="134"/>
    </font>
    <font>
      <sz val="11"/>
      <color theme="1"/>
      <name val="SimSun"/>
      <charset val="134"/>
      <scheme val="minor"/>
    </font>
    <font>
      <u/>
      <sz val="11"/>
      <color rgb="FF0000FF"/>
      <name val="SimSun"/>
      <charset val="0"/>
      <scheme val="minor"/>
    </font>
    <font>
      <u/>
      <sz val="11"/>
      <color rgb="FF800080"/>
      <name val="SimSun"/>
      <charset val="0"/>
      <scheme val="minor"/>
    </font>
    <font>
      <sz val="11"/>
      <color rgb="FFFF0000"/>
      <name val="SimSun"/>
      <charset val="0"/>
      <scheme val="minor"/>
    </font>
    <font>
      <b/>
      <sz val="18"/>
      <color theme="3"/>
      <name val="SimSun"/>
      <charset val="134"/>
      <scheme val="minor"/>
    </font>
    <font>
      <i/>
      <sz val="11"/>
      <color rgb="FF7F7F7F"/>
      <name val="SimSun"/>
      <charset val="0"/>
      <scheme val="minor"/>
    </font>
    <font>
      <b/>
      <sz val="15"/>
      <color theme="3"/>
      <name val="SimSun"/>
      <charset val="134"/>
      <scheme val="minor"/>
    </font>
    <font>
      <b/>
      <sz val="13"/>
      <color theme="3"/>
      <name val="SimSun"/>
      <charset val="134"/>
      <scheme val="minor"/>
    </font>
    <font>
      <b/>
      <sz val="11"/>
      <color theme="3"/>
      <name val="SimSun"/>
      <charset val="134"/>
      <scheme val="minor"/>
    </font>
    <font>
      <sz val="11"/>
      <color rgb="FF3F3F76"/>
      <name val="SimSun"/>
      <charset val="0"/>
      <scheme val="minor"/>
    </font>
    <font>
      <b/>
      <sz val="11"/>
      <color rgb="FF3F3F3F"/>
      <name val="SimSun"/>
      <charset val="0"/>
      <scheme val="minor"/>
    </font>
    <font>
      <b/>
      <sz val="11"/>
      <color rgb="FFFA7D00"/>
      <name val="SimSun"/>
      <charset val="0"/>
      <scheme val="minor"/>
    </font>
    <font>
      <b/>
      <sz val="11"/>
      <color rgb="FFFFFFFF"/>
      <name val="SimSun"/>
      <charset val="0"/>
      <scheme val="minor"/>
    </font>
    <font>
      <sz val="11"/>
      <color rgb="FFFA7D00"/>
      <name val="SimSun"/>
      <charset val="0"/>
      <scheme val="minor"/>
    </font>
    <font>
      <b/>
      <sz val="11"/>
      <color theme="1"/>
      <name val="SimSun"/>
      <charset val="0"/>
      <scheme val="minor"/>
    </font>
    <font>
      <sz val="11"/>
      <color rgb="FF006100"/>
      <name val="SimSun"/>
      <charset val="0"/>
      <scheme val="minor"/>
    </font>
    <font>
      <sz val="11"/>
      <color rgb="FF9C0006"/>
      <name val="SimSun"/>
      <charset val="0"/>
      <scheme val="minor"/>
    </font>
    <font>
      <sz val="11"/>
      <color rgb="FF9C6500"/>
      <name val="SimSun"/>
      <charset val="0"/>
      <scheme val="minor"/>
    </font>
    <font>
      <sz val="11"/>
      <color theme="0"/>
      <name val="SimSun"/>
      <charset val="0"/>
      <scheme val="minor"/>
    </font>
    <font>
      <sz val="11"/>
      <color theme="1"/>
      <name val="SimSun"/>
      <charset val="0"/>
      <scheme val="minor"/>
    </font>
    <font>
      <sz val="11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EB9C"/>
        <bgColor rgb="FFFFFFFF"/>
      </patternFill>
    </fill>
    <fill>
      <patternFill patternType="solid">
        <fgColor rgb="FFFFC7CE"/>
        <bgColor rgb="FFFFFFFF"/>
      </patternFill>
    </fill>
    <fill>
      <patternFill patternType="solid">
        <fgColor rgb="FFFFE699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9BC2E6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9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10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Border="1" applyAlignment="1"/>
    <xf numFmtId="0" fontId="2" fillId="3" borderId="0" xfId="0" applyFont="1" applyFill="1" applyBorder="1" applyAlignment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0" fillId="0" borderId="1" xfId="0" applyBorder="1">
      <alignment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/>
    </xf>
    <xf numFmtId="0" fontId="0" fillId="0" borderId="2" xfId="0" applyBorder="1">
      <alignment vertical="center"/>
    </xf>
    <xf numFmtId="0" fontId="5" fillId="0" borderId="0" xfId="0" applyFont="1" applyAlignment="1"/>
    <xf numFmtId="0" fontId="4" fillId="5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4" fillId="5" borderId="3" xfId="0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0" fontId="4" fillId="5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Microsoft YaHe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D15"/>
  <sheetViews>
    <sheetView topLeftCell="C1" workbookViewId="0">
      <selection activeCell="D17" sqref="D17"/>
    </sheetView>
  </sheetViews>
  <sheetFormatPr defaultColWidth="13.6416666666667" defaultRowHeight="18" customHeight="1" outlineLevelCol="3"/>
  <cols>
    <col min="3" max="3" width="14.7083333333333" customWidth="1"/>
    <col min="4" max="4" width="212.708333333333" customWidth="1"/>
  </cols>
  <sheetData>
    <row r="3" ht="16.5" spans="3:4">
      <c r="C3" s="11" t="s">
        <v>0</v>
      </c>
      <c r="D3" s="11" t="s">
        <v>1</v>
      </c>
    </row>
    <row r="4" ht="16.5" spans="3:4">
      <c r="C4" s="11" t="s">
        <v>2</v>
      </c>
      <c r="D4" s="11" t="s">
        <v>3</v>
      </c>
    </row>
    <row r="5" ht="16.5" spans="3:4">
      <c r="C5" s="11" t="s">
        <v>4</v>
      </c>
      <c r="D5" s="11" t="s">
        <v>5</v>
      </c>
    </row>
    <row r="6" ht="16.5" spans="3:4">
      <c r="C6" s="11"/>
      <c r="D6" s="11" t="s">
        <v>6</v>
      </c>
    </row>
    <row r="7" ht="16.5" spans="3:4">
      <c r="C7" s="11" t="s">
        <v>7</v>
      </c>
      <c r="D7" s="11" t="s">
        <v>8</v>
      </c>
    </row>
    <row r="8" ht="16.5" spans="3:4">
      <c r="C8" s="11"/>
      <c r="D8" s="11" t="s">
        <v>9</v>
      </c>
    </row>
    <row r="9" ht="16.5" spans="3:4">
      <c r="C9" s="11"/>
      <c r="D9" s="11" t="s">
        <v>10</v>
      </c>
    </row>
    <row r="10" ht="16.5" spans="3:4">
      <c r="C10" s="11"/>
      <c r="D10" s="11" t="s">
        <v>11</v>
      </c>
    </row>
    <row r="11" ht="16.5" spans="3:4">
      <c r="C11" s="11" t="s">
        <v>12</v>
      </c>
      <c r="D11" s="11" t="s">
        <v>13</v>
      </c>
    </row>
    <row r="12" ht="16.5" spans="3:4">
      <c r="C12" s="11"/>
      <c r="D12" s="11" t="s">
        <v>14</v>
      </c>
    </row>
    <row r="13" ht="16.5" spans="3:4">
      <c r="C13" s="11"/>
      <c r="D13" s="11" t="s">
        <v>15</v>
      </c>
    </row>
    <row r="14" ht="16.5" spans="3:4">
      <c r="C14" s="11" t="s">
        <v>16</v>
      </c>
      <c r="D14" s="11" t="s">
        <v>17</v>
      </c>
    </row>
    <row r="15" customHeight="1" spans="3:4">
      <c r="C15" t="s">
        <v>18</v>
      </c>
      <c r="D15" s="20" t="s">
        <v>19</v>
      </c>
    </row>
  </sheetData>
  <pageMargins left="0.7875" right="0.7875" top="0.7875" bottom="0.7875" header="0.39375" footer="0.39375"/>
  <pageSetup paperSize="9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5"/>
  <sheetViews>
    <sheetView zoomScale="85" zoomScaleNormal="85" topLeftCell="F37" workbookViewId="0">
      <selection activeCell="M61" sqref="M61"/>
    </sheetView>
  </sheetViews>
  <sheetFormatPr defaultColWidth="13.6416666666667" defaultRowHeight="18" customHeight="1"/>
  <cols>
    <col min="1" max="1" width="10.7083333333333" customWidth="1"/>
    <col min="2" max="2" width="24.7083333333333" customWidth="1"/>
    <col min="3" max="3" width="37.7083333333333" customWidth="1"/>
    <col min="4" max="4" width="18.7083333333333" customWidth="1"/>
    <col min="5" max="5" width="6.70833333333333" customWidth="1"/>
    <col min="6" max="6" width="71.7083333333333" customWidth="1"/>
    <col min="7" max="8" width="10.7083333333333" customWidth="1"/>
    <col min="9" max="9" width="19.625" customWidth="1"/>
    <col min="10" max="10" width="10.7083333333333" customWidth="1"/>
    <col min="11" max="11" width="21.7083333333333" customWidth="1"/>
    <col min="12" max="12" width="31.7083333333333" customWidth="1"/>
    <col min="13" max="13" width="18.7083333333333" customWidth="1"/>
    <col min="14" max="14" width="6.70833333333333" customWidth="1"/>
    <col min="15" max="15" width="62.7083333333333" customWidth="1"/>
    <col min="16" max="17" width="10.7083333333333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4" t="s">
        <v>28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</row>
    <row r="2" ht="16.5" spans="1:17">
      <c r="A2" s="6" t="s">
        <v>29</v>
      </c>
      <c r="B2" s="7"/>
      <c r="C2" s="7"/>
      <c r="D2" s="7"/>
      <c r="E2" s="7"/>
      <c r="F2" s="7"/>
      <c r="G2" s="7"/>
      <c r="H2" s="7"/>
      <c r="I2" s="8" t="s">
        <v>30</v>
      </c>
      <c r="J2" s="9" t="s">
        <v>31</v>
      </c>
      <c r="K2" s="7"/>
      <c r="L2" s="7"/>
      <c r="M2" s="7"/>
      <c r="N2" s="7"/>
      <c r="O2" s="7"/>
      <c r="P2" s="7"/>
      <c r="Q2" s="7"/>
    </row>
    <row r="3" ht="16.5" spans="1:17">
      <c r="A3" s="7"/>
      <c r="B3" s="7"/>
      <c r="C3" s="7"/>
      <c r="D3" s="7"/>
      <c r="E3" s="7"/>
      <c r="F3" s="7"/>
      <c r="G3" s="7"/>
      <c r="H3" s="7"/>
      <c r="I3" s="10"/>
      <c r="J3" s="7"/>
      <c r="K3" s="7"/>
      <c r="L3" s="7"/>
      <c r="M3" s="7"/>
      <c r="N3" s="7"/>
      <c r="O3" s="7"/>
      <c r="P3" s="7"/>
      <c r="Q3" s="7"/>
    </row>
    <row r="4" ht="16.5" spans="1:17">
      <c r="A4" s="11"/>
      <c r="B4" s="11" t="s">
        <v>32</v>
      </c>
      <c r="C4" s="11"/>
      <c r="D4" s="11">
        <v>0</v>
      </c>
      <c r="E4" s="11"/>
      <c r="F4" s="11"/>
      <c r="G4" s="11"/>
      <c r="H4" s="11">
        <v>200</v>
      </c>
      <c r="I4" s="10"/>
      <c r="J4" s="11"/>
      <c r="K4" s="11" t="s">
        <v>33</v>
      </c>
      <c r="L4" s="11" t="s">
        <v>34</v>
      </c>
      <c r="M4" s="11">
        <v>4000</v>
      </c>
      <c r="N4" s="11"/>
      <c r="O4" s="11" t="s">
        <v>35</v>
      </c>
      <c r="P4" s="11"/>
      <c r="Q4" s="11">
        <v>200</v>
      </c>
    </row>
    <row r="5" ht="16.5" spans="1:17">
      <c r="A5" s="6" t="s">
        <v>29</v>
      </c>
      <c r="B5" s="7"/>
      <c r="C5" s="7"/>
      <c r="D5" s="7"/>
      <c r="E5" s="7"/>
      <c r="F5" s="7"/>
      <c r="G5" s="7"/>
      <c r="H5" s="7"/>
      <c r="I5" s="12" t="s">
        <v>36</v>
      </c>
      <c r="J5" s="9" t="s">
        <v>31</v>
      </c>
      <c r="K5" s="7"/>
      <c r="L5" s="7"/>
      <c r="M5" s="7"/>
      <c r="N5" s="7"/>
      <c r="O5" s="7"/>
      <c r="P5" s="7"/>
      <c r="Q5" s="7"/>
    </row>
    <row r="6" ht="16.5" spans="1:17">
      <c r="A6" s="7"/>
      <c r="B6" s="7"/>
      <c r="C6" s="7"/>
      <c r="D6" s="7"/>
      <c r="E6" s="7"/>
      <c r="F6" s="7"/>
      <c r="G6" s="7"/>
      <c r="H6" s="7"/>
      <c r="I6" s="13"/>
      <c r="J6" s="7"/>
      <c r="K6" s="7"/>
      <c r="L6" s="7"/>
      <c r="M6" s="7"/>
      <c r="N6" s="7"/>
      <c r="O6" s="7"/>
      <c r="P6" s="7"/>
      <c r="Q6" s="7"/>
    </row>
    <row r="7" ht="16.5" spans="1:17">
      <c r="A7" s="11"/>
      <c r="B7" s="11" t="s">
        <v>37</v>
      </c>
      <c r="C7" s="11" t="s">
        <v>34</v>
      </c>
      <c r="D7" s="11">
        <v>100</v>
      </c>
      <c r="E7" s="11"/>
      <c r="F7" s="11" t="s">
        <v>38</v>
      </c>
      <c r="G7" s="11"/>
      <c r="H7" s="11"/>
      <c r="I7" s="13"/>
      <c r="J7" s="11"/>
      <c r="K7" s="11" t="s">
        <v>39</v>
      </c>
      <c r="L7" s="11" t="s">
        <v>34</v>
      </c>
      <c r="M7" s="11">
        <f>M4+2</f>
        <v>4002</v>
      </c>
      <c r="N7" s="11">
        <v>0</v>
      </c>
      <c r="O7" s="11" t="s">
        <v>40</v>
      </c>
      <c r="P7" s="11"/>
      <c r="Q7" s="11"/>
    </row>
    <row r="8" ht="16.5" spans="1:17">
      <c r="A8" s="11"/>
      <c r="B8" s="11" t="s">
        <v>41</v>
      </c>
      <c r="C8" s="11" t="s">
        <v>42</v>
      </c>
      <c r="D8" s="11">
        <f>D7+2</f>
        <v>102</v>
      </c>
      <c r="E8" s="11"/>
      <c r="F8" s="11" t="s">
        <v>43</v>
      </c>
      <c r="G8" s="11"/>
      <c r="H8" s="11"/>
      <c r="I8" s="13"/>
      <c r="J8" s="11"/>
      <c r="K8" s="11" t="s">
        <v>44</v>
      </c>
      <c r="L8" s="11" t="s">
        <v>45</v>
      </c>
      <c r="M8" s="11">
        <f>M7+2</f>
        <v>4004</v>
      </c>
      <c r="N8" s="11"/>
      <c r="O8" s="11" t="s">
        <v>46</v>
      </c>
      <c r="P8" s="11"/>
      <c r="Q8" s="11"/>
    </row>
    <row r="9" ht="16.5" spans="1:17">
      <c r="A9" s="11"/>
      <c r="B9" s="11" t="s">
        <v>47</v>
      </c>
      <c r="C9" s="11"/>
      <c r="D9" s="11">
        <f>D8+26</f>
        <v>128</v>
      </c>
      <c r="E9" s="11"/>
      <c r="F9" s="11"/>
      <c r="G9" s="11"/>
      <c r="H9" s="11"/>
      <c r="I9" s="13"/>
      <c r="J9" s="11"/>
      <c r="K9" s="11" t="s">
        <v>48</v>
      </c>
      <c r="L9" s="11"/>
      <c r="M9" s="11">
        <f>M8+2</f>
        <v>4006</v>
      </c>
      <c r="N9" s="11"/>
      <c r="O9" s="11"/>
      <c r="P9" s="11"/>
      <c r="Q9" s="11"/>
    </row>
    <row r="10" ht="16.5" spans="1:17">
      <c r="A10" s="6" t="s">
        <v>29</v>
      </c>
      <c r="B10" s="7"/>
      <c r="C10" s="7"/>
      <c r="D10" s="7"/>
      <c r="E10" s="7"/>
      <c r="F10" s="7"/>
      <c r="G10" s="7"/>
      <c r="H10" s="7"/>
      <c r="I10" s="12" t="s">
        <v>49</v>
      </c>
      <c r="J10" s="9" t="s">
        <v>31</v>
      </c>
      <c r="K10" s="7"/>
      <c r="L10" s="7"/>
      <c r="M10" s="7"/>
      <c r="N10" s="7"/>
      <c r="O10" s="7"/>
      <c r="P10" s="7"/>
      <c r="Q10" s="7"/>
    </row>
    <row r="11" ht="16.5" spans="1:17">
      <c r="A11" s="7"/>
      <c r="B11" s="7"/>
      <c r="C11" s="7"/>
      <c r="D11" s="7"/>
      <c r="E11" s="7"/>
      <c r="F11" s="7"/>
      <c r="G11" s="7"/>
      <c r="H11" s="7"/>
      <c r="I11" s="13"/>
      <c r="J11" s="7"/>
      <c r="K11" s="7"/>
      <c r="L11" s="7"/>
      <c r="M11" s="7"/>
      <c r="N11" s="7"/>
      <c r="O11" s="7"/>
      <c r="P11" s="7"/>
      <c r="Q11" s="7"/>
    </row>
    <row r="12" ht="16.5" spans="1:17">
      <c r="A12" s="11"/>
      <c r="B12" s="11" t="s">
        <v>37</v>
      </c>
      <c r="C12" s="11" t="s">
        <v>34</v>
      </c>
      <c r="D12" s="11">
        <f>D9+72</f>
        <v>200</v>
      </c>
      <c r="E12" s="11"/>
      <c r="F12" s="11" t="s">
        <v>38</v>
      </c>
      <c r="G12" s="11"/>
      <c r="H12" s="11"/>
      <c r="I12" s="13"/>
      <c r="J12" s="11"/>
      <c r="K12" s="11" t="s">
        <v>39</v>
      </c>
      <c r="L12" s="11" t="s">
        <v>34</v>
      </c>
      <c r="M12" s="11">
        <f>M9+96</f>
        <v>4102</v>
      </c>
      <c r="N12" s="11"/>
      <c r="O12" s="11" t="s">
        <v>40</v>
      </c>
      <c r="P12" s="11"/>
      <c r="Q12" s="11"/>
    </row>
    <row r="13" ht="16.5" spans="1:17">
      <c r="A13" s="11"/>
      <c r="B13" s="11" t="s">
        <v>41</v>
      </c>
      <c r="C13" s="11" t="s">
        <v>42</v>
      </c>
      <c r="D13" s="11">
        <f>D12+2</f>
        <v>202</v>
      </c>
      <c r="E13" s="11"/>
      <c r="F13" s="11" t="s">
        <v>43</v>
      </c>
      <c r="G13" s="11"/>
      <c r="H13" s="11"/>
      <c r="I13" s="13"/>
      <c r="J13" s="11"/>
      <c r="K13" s="11" t="s">
        <v>44</v>
      </c>
      <c r="L13" s="11" t="s">
        <v>45</v>
      </c>
      <c r="M13" s="11">
        <f>M12+2</f>
        <v>4104</v>
      </c>
      <c r="N13" s="11"/>
      <c r="O13" s="11" t="s">
        <v>46</v>
      </c>
      <c r="P13" s="11"/>
      <c r="Q13" s="11"/>
    </row>
    <row r="14" ht="16.5" spans="1:17">
      <c r="A14" s="11"/>
      <c r="B14" s="11" t="s">
        <v>50</v>
      </c>
      <c r="C14" s="11" t="s">
        <v>42</v>
      </c>
      <c r="D14" s="11">
        <f>D13+26</f>
        <v>228</v>
      </c>
      <c r="E14" s="11"/>
      <c r="F14" s="11" t="s">
        <v>51</v>
      </c>
      <c r="G14" s="11"/>
      <c r="H14" s="11"/>
      <c r="I14" s="13"/>
      <c r="J14" s="11"/>
      <c r="K14" s="11" t="s">
        <v>48</v>
      </c>
      <c r="L14" s="11"/>
      <c r="M14" s="11">
        <f>M13+2</f>
        <v>4106</v>
      </c>
      <c r="N14" s="11"/>
      <c r="O14" s="11"/>
      <c r="P14" s="11"/>
      <c r="Q14" s="11"/>
    </row>
    <row r="15" ht="16.5" spans="1:17">
      <c r="A15" s="11"/>
      <c r="B15" s="11" t="s">
        <v>52</v>
      </c>
      <c r="C15" s="11"/>
      <c r="D15" s="11">
        <f>D14+26</f>
        <v>254</v>
      </c>
      <c r="E15" s="11"/>
      <c r="F15" s="11"/>
      <c r="G15" s="11"/>
      <c r="H15" s="11"/>
      <c r="I15" s="13"/>
      <c r="J15" s="11"/>
      <c r="K15" s="11"/>
      <c r="L15" s="11"/>
      <c r="M15" s="11"/>
      <c r="N15" s="11"/>
      <c r="O15" s="11"/>
      <c r="P15" s="11"/>
      <c r="Q15" s="11"/>
    </row>
    <row r="16" ht="16.5" spans="1:17">
      <c r="A16" s="6" t="s">
        <v>29</v>
      </c>
      <c r="B16" s="7"/>
      <c r="C16" s="7"/>
      <c r="D16" s="7"/>
      <c r="E16" s="7"/>
      <c r="F16" s="7"/>
      <c r="G16" s="7"/>
      <c r="H16" s="7"/>
      <c r="I16" s="12" t="s">
        <v>53</v>
      </c>
      <c r="J16" s="9" t="s">
        <v>31</v>
      </c>
      <c r="K16" s="7"/>
      <c r="L16" s="7"/>
      <c r="M16" s="7"/>
      <c r="N16" s="7"/>
      <c r="O16" s="7"/>
      <c r="P16" s="7"/>
      <c r="Q16" s="7"/>
    </row>
    <row r="17" ht="16.5" spans="1:17">
      <c r="A17" s="7"/>
      <c r="B17" s="7"/>
      <c r="C17" s="7"/>
      <c r="D17" s="7"/>
      <c r="E17" s="7"/>
      <c r="F17" s="7"/>
      <c r="G17" s="7"/>
      <c r="H17" s="7"/>
      <c r="I17" s="13"/>
      <c r="J17" s="7"/>
      <c r="K17" s="7"/>
      <c r="L17" s="7"/>
      <c r="M17" s="7"/>
      <c r="N17" s="7"/>
      <c r="O17" s="7"/>
      <c r="P17" s="7"/>
      <c r="Q17" s="7"/>
    </row>
    <row r="18" ht="16.5" spans="1:17">
      <c r="A18" s="11"/>
      <c r="B18" s="11" t="s">
        <v>37</v>
      </c>
      <c r="C18" s="11" t="s">
        <v>34</v>
      </c>
      <c r="D18" s="11">
        <f>D15+46</f>
        <v>300</v>
      </c>
      <c r="E18" s="11"/>
      <c r="F18" s="11" t="s">
        <v>38</v>
      </c>
      <c r="G18" s="11"/>
      <c r="H18" s="11"/>
      <c r="I18" s="13"/>
      <c r="J18" s="11"/>
      <c r="K18" s="11" t="s">
        <v>39</v>
      </c>
      <c r="L18" s="11" t="s">
        <v>34</v>
      </c>
      <c r="M18" s="11">
        <f>M14+96</f>
        <v>4202</v>
      </c>
      <c r="N18" s="11"/>
      <c r="O18" s="11" t="s">
        <v>40</v>
      </c>
      <c r="P18" s="11"/>
      <c r="Q18" s="11"/>
    </row>
    <row r="19" ht="16.5" spans="1:17">
      <c r="A19" s="11"/>
      <c r="B19" s="11" t="s">
        <v>41</v>
      </c>
      <c r="C19" s="11" t="s">
        <v>42</v>
      </c>
      <c r="D19" s="11">
        <f>D18+2</f>
        <v>302</v>
      </c>
      <c r="E19" s="11"/>
      <c r="F19" s="11" t="s">
        <v>54</v>
      </c>
      <c r="G19" s="11"/>
      <c r="H19" s="11"/>
      <c r="I19" s="13"/>
      <c r="J19" s="11"/>
      <c r="K19" s="11" t="s">
        <v>44</v>
      </c>
      <c r="L19" s="11" t="s">
        <v>45</v>
      </c>
      <c r="M19" s="11">
        <f>M18+2</f>
        <v>4204</v>
      </c>
      <c r="N19" s="11"/>
      <c r="O19" s="11" t="s">
        <v>46</v>
      </c>
      <c r="P19" s="11"/>
      <c r="Q19" s="11"/>
    </row>
    <row r="20" ht="16.5" spans="1:17">
      <c r="A20" s="11"/>
      <c r="B20" s="11" t="s">
        <v>55</v>
      </c>
      <c r="C20" s="11" t="s">
        <v>42</v>
      </c>
      <c r="D20" s="11">
        <f>D19+26</f>
        <v>328</v>
      </c>
      <c r="E20" s="11"/>
      <c r="F20" s="11" t="s">
        <v>56</v>
      </c>
      <c r="G20" s="11"/>
      <c r="H20" s="11"/>
      <c r="I20" s="13"/>
      <c r="J20" s="11"/>
      <c r="K20" s="11" t="s">
        <v>48</v>
      </c>
      <c r="L20" s="11"/>
      <c r="M20" s="11">
        <f>M19+2</f>
        <v>4206</v>
      </c>
      <c r="N20" s="11"/>
      <c r="O20" s="11"/>
      <c r="P20" s="11"/>
      <c r="Q20" s="11"/>
    </row>
    <row r="21" ht="16.5" spans="1:17">
      <c r="A21" s="11"/>
      <c r="B21" s="11" t="s">
        <v>52</v>
      </c>
      <c r="C21" s="11"/>
      <c r="D21" s="11">
        <f>D20+26</f>
        <v>354</v>
      </c>
      <c r="E21" s="11"/>
      <c r="F21" s="11"/>
      <c r="G21" s="11"/>
      <c r="H21" s="11"/>
      <c r="I21" s="13"/>
      <c r="J21" s="11"/>
      <c r="K21" s="11"/>
      <c r="L21" s="11"/>
      <c r="M21" s="11"/>
      <c r="N21" s="11"/>
      <c r="O21" s="11"/>
      <c r="P21" s="11"/>
      <c r="Q21" s="11"/>
    </row>
    <row r="22" ht="16.5" spans="1:17">
      <c r="A22" s="6" t="s">
        <v>29</v>
      </c>
      <c r="B22" s="7"/>
      <c r="C22" s="7"/>
      <c r="D22" s="7"/>
      <c r="E22" s="7"/>
      <c r="F22" s="7"/>
      <c r="G22" s="7"/>
      <c r="H22" s="7"/>
      <c r="I22" s="12" t="s">
        <v>57</v>
      </c>
      <c r="J22" s="9" t="s">
        <v>31</v>
      </c>
      <c r="K22" s="7"/>
      <c r="L22" s="7"/>
      <c r="M22" s="7"/>
      <c r="N22" s="7"/>
      <c r="O22" s="7"/>
      <c r="P22" s="7"/>
      <c r="Q22" s="7"/>
    </row>
    <row r="23" ht="16.5" spans="1:17">
      <c r="A23" s="7"/>
      <c r="B23" s="7"/>
      <c r="C23" s="7"/>
      <c r="D23" s="7"/>
      <c r="E23" s="7"/>
      <c r="F23" s="7"/>
      <c r="G23" s="7"/>
      <c r="H23" s="7"/>
      <c r="I23" s="13"/>
      <c r="J23" s="7"/>
      <c r="K23" s="7"/>
      <c r="L23" s="7"/>
      <c r="M23" s="7"/>
      <c r="N23" s="7"/>
      <c r="O23" s="7"/>
      <c r="P23" s="7"/>
      <c r="Q23" s="7"/>
    </row>
    <row r="24" ht="16.5" spans="1:17">
      <c r="A24" s="11"/>
      <c r="B24" s="11" t="s">
        <v>37</v>
      </c>
      <c r="C24" s="11" t="s">
        <v>34</v>
      </c>
      <c r="D24" s="11">
        <f>D21+46</f>
        <v>400</v>
      </c>
      <c r="E24" s="11"/>
      <c r="F24" s="11" t="s">
        <v>38</v>
      </c>
      <c r="G24" s="11"/>
      <c r="H24" s="11"/>
      <c r="I24" s="13"/>
      <c r="J24" s="11"/>
      <c r="K24" s="11" t="s">
        <v>39</v>
      </c>
      <c r="L24" s="11" t="s">
        <v>34</v>
      </c>
      <c r="M24" s="11">
        <f>M20+96</f>
        <v>4302</v>
      </c>
      <c r="N24" s="11"/>
      <c r="O24" s="11" t="s">
        <v>40</v>
      </c>
      <c r="P24" s="11"/>
      <c r="Q24" s="11"/>
    </row>
    <row r="25" ht="16.5" spans="1:17">
      <c r="A25" s="11"/>
      <c r="B25" s="11" t="s">
        <v>58</v>
      </c>
      <c r="C25" s="11"/>
      <c r="D25" s="11">
        <f>D24+2</f>
        <v>402</v>
      </c>
      <c r="E25" s="11"/>
      <c r="F25" s="11"/>
      <c r="G25" s="11"/>
      <c r="H25" s="11"/>
      <c r="I25" s="13"/>
      <c r="J25" s="11"/>
      <c r="K25" s="11" t="s">
        <v>44</v>
      </c>
      <c r="L25" s="11" t="s">
        <v>45</v>
      </c>
      <c r="M25" s="11">
        <f>M24+2</f>
        <v>4304</v>
      </c>
      <c r="N25" s="11"/>
      <c r="O25" s="11" t="s">
        <v>46</v>
      </c>
      <c r="P25" s="11"/>
      <c r="Q25" s="11"/>
    </row>
    <row r="26" ht="16.5" spans="1:17">
      <c r="A26" s="11"/>
      <c r="B26" s="11"/>
      <c r="C26" s="11"/>
      <c r="D26" s="11"/>
      <c r="E26" s="11"/>
      <c r="F26" s="11"/>
      <c r="G26" s="11"/>
      <c r="H26" s="11"/>
      <c r="I26" s="13"/>
      <c r="J26" s="11"/>
      <c r="K26" s="11" t="s">
        <v>59</v>
      </c>
      <c r="L26" s="11" t="s">
        <v>42</v>
      </c>
      <c r="M26" s="11">
        <f>M25+2</f>
        <v>4306</v>
      </c>
      <c r="N26" s="11"/>
      <c r="O26" s="11" t="s">
        <v>60</v>
      </c>
      <c r="P26" s="11"/>
      <c r="Q26" s="11"/>
    </row>
    <row r="27" ht="16.5" spans="1:17">
      <c r="A27" s="11"/>
      <c r="B27" s="11"/>
      <c r="C27" s="11"/>
      <c r="D27" s="11"/>
      <c r="E27" s="11"/>
      <c r="F27" s="11"/>
      <c r="G27" s="11"/>
      <c r="H27" s="11"/>
      <c r="I27" s="13"/>
      <c r="J27" s="11"/>
      <c r="K27" s="11" t="s">
        <v>61</v>
      </c>
      <c r="L27" s="11" t="s">
        <v>42</v>
      </c>
      <c r="M27" s="11">
        <f>M26+26</f>
        <v>4332</v>
      </c>
      <c r="N27" s="11"/>
      <c r="O27" s="11" t="s">
        <v>60</v>
      </c>
      <c r="P27" s="11"/>
      <c r="Q27" s="11"/>
    </row>
    <row r="28" ht="16.5" spans="1:17">
      <c r="A28" s="11"/>
      <c r="B28" s="11"/>
      <c r="C28" s="11"/>
      <c r="D28" s="11"/>
      <c r="E28" s="11"/>
      <c r="F28" s="11"/>
      <c r="G28" s="11"/>
      <c r="H28" s="11"/>
      <c r="I28" s="13"/>
      <c r="J28" s="11"/>
      <c r="K28" s="11" t="s">
        <v>62</v>
      </c>
      <c r="L28" s="11"/>
      <c r="M28" s="11">
        <f>M27+26</f>
        <v>4358</v>
      </c>
      <c r="N28" s="11"/>
      <c r="O28" s="11"/>
      <c r="P28" s="11"/>
      <c r="Q28" s="11"/>
    </row>
    <row r="29" ht="16.5" spans="1:17">
      <c r="A29" s="6" t="s">
        <v>29</v>
      </c>
      <c r="B29" s="7"/>
      <c r="C29" s="7"/>
      <c r="D29" s="7"/>
      <c r="E29" s="7"/>
      <c r="F29" s="7"/>
      <c r="G29" s="7"/>
      <c r="H29" s="7"/>
      <c r="I29" s="12" t="s">
        <v>63</v>
      </c>
      <c r="J29" s="9" t="s">
        <v>31</v>
      </c>
      <c r="K29" s="7"/>
      <c r="L29" s="7"/>
      <c r="M29" s="7"/>
      <c r="N29" s="7"/>
      <c r="O29" s="7"/>
      <c r="P29" s="7"/>
      <c r="Q29" s="7"/>
    </row>
    <row r="30" ht="16.5" spans="1:17">
      <c r="A30" s="7"/>
      <c r="B30" s="7"/>
      <c r="C30" s="7"/>
      <c r="D30" s="7"/>
      <c r="E30" s="7"/>
      <c r="F30" s="7"/>
      <c r="G30" s="7"/>
      <c r="H30" s="7"/>
      <c r="I30" s="13"/>
      <c r="J30" s="7"/>
      <c r="K30" s="7"/>
      <c r="L30" s="7"/>
      <c r="M30" s="7"/>
      <c r="N30" s="7"/>
      <c r="O30" s="7"/>
      <c r="P30" s="7"/>
      <c r="Q30" s="7"/>
    </row>
    <row r="31" ht="16.5" spans="1:17">
      <c r="A31" s="11"/>
      <c r="B31" s="11" t="s">
        <v>37</v>
      </c>
      <c r="C31" s="11" t="s">
        <v>34</v>
      </c>
      <c r="D31" s="11">
        <f>D25+98</f>
        <v>500</v>
      </c>
      <c r="E31" s="11"/>
      <c r="F31" s="11" t="s">
        <v>38</v>
      </c>
      <c r="G31" s="11"/>
      <c r="H31" s="11"/>
      <c r="I31" s="13"/>
      <c r="J31" s="11"/>
      <c r="K31" s="11" t="s">
        <v>39</v>
      </c>
      <c r="L31" s="11" t="s">
        <v>34</v>
      </c>
      <c r="M31" s="11">
        <f>M28+44</f>
        <v>4402</v>
      </c>
      <c r="N31" s="11"/>
      <c r="O31" s="11" t="s">
        <v>40</v>
      </c>
      <c r="P31" s="11"/>
      <c r="Q31" s="11"/>
    </row>
    <row r="32" ht="16.5" spans="1:17">
      <c r="A32" s="11"/>
      <c r="B32" s="11" t="s">
        <v>64</v>
      </c>
      <c r="C32" s="11" t="s">
        <v>65</v>
      </c>
      <c r="D32" s="11">
        <f>D31+2</f>
        <v>502</v>
      </c>
      <c r="E32" s="11"/>
      <c r="F32" s="11" t="s">
        <v>66</v>
      </c>
      <c r="G32" s="11"/>
      <c r="H32" s="11"/>
      <c r="I32" s="13"/>
      <c r="J32" s="11"/>
      <c r="K32" s="11" t="s">
        <v>44</v>
      </c>
      <c r="L32" s="11" t="s">
        <v>45</v>
      </c>
      <c r="M32" s="11">
        <f>M31+2</f>
        <v>4404</v>
      </c>
      <c r="N32" s="11"/>
      <c r="O32" s="11" t="s">
        <v>46</v>
      </c>
      <c r="P32" s="11"/>
      <c r="Q32" s="11"/>
    </row>
    <row r="33" ht="16.5" spans="1:17">
      <c r="A33" s="11"/>
      <c r="B33" s="11" t="s">
        <v>67</v>
      </c>
      <c r="C33" s="11" t="s">
        <v>65</v>
      </c>
      <c r="D33" s="11">
        <f t="shared" ref="D33:D42" si="0">D32+4</f>
        <v>506</v>
      </c>
      <c r="E33" s="11"/>
      <c r="F33" s="11" t="s">
        <v>68</v>
      </c>
      <c r="G33" s="11"/>
      <c r="H33" s="11"/>
      <c r="I33" s="13"/>
      <c r="J33" s="11"/>
      <c r="K33" s="11" t="s">
        <v>48</v>
      </c>
      <c r="L33" s="11"/>
      <c r="M33" s="11">
        <f>M32+2</f>
        <v>4406</v>
      </c>
      <c r="N33" s="11"/>
      <c r="O33" s="11"/>
      <c r="P33" s="11"/>
      <c r="Q33" s="11"/>
    </row>
    <row r="34" ht="16.5" spans="1:17">
      <c r="A34" s="11"/>
      <c r="B34" s="11" t="s">
        <v>69</v>
      </c>
      <c r="C34" s="11" t="s">
        <v>65</v>
      </c>
      <c r="D34" s="11">
        <f t="shared" si="0"/>
        <v>510</v>
      </c>
      <c r="E34" s="11"/>
      <c r="F34" s="11" t="s">
        <v>70</v>
      </c>
      <c r="G34" s="11"/>
      <c r="H34" s="11"/>
      <c r="I34" s="13"/>
      <c r="J34" s="11"/>
      <c r="K34" s="11"/>
      <c r="L34" s="11"/>
      <c r="M34" s="11"/>
      <c r="N34" s="11"/>
      <c r="O34" s="11"/>
      <c r="P34" s="11"/>
      <c r="Q34" s="11"/>
    </row>
    <row r="35" ht="16.5" spans="1:17">
      <c r="A35" s="11"/>
      <c r="B35" s="11" t="s">
        <v>71</v>
      </c>
      <c r="C35" s="11" t="s">
        <v>65</v>
      </c>
      <c r="D35" s="11">
        <f t="shared" si="0"/>
        <v>514</v>
      </c>
      <c r="E35" s="11"/>
      <c r="F35" s="11" t="s">
        <v>72</v>
      </c>
      <c r="G35" s="11"/>
      <c r="H35" s="11"/>
      <c r="I35" s="13"/>
      <c r="J35" s="11"/>
      <c r="K35" s="11"/>
      <c r="L35" s="11"/>
      <c r="M35" s="11"/>
      <c r="N35" s="11"/>
      <c r="O35" s="11"/>
      <c r="P35" s="11"/>
      <c r="Q35" s="11"/>
    </row>
    <row r="36" ht="16.5" spans="1:17">
      <c r="A36" s="11"/>
      <c r="B36" s="11" t="s">
        <v>73</v>
      </c>
      <c r="C36" s="11" t="s">
        <v>65</v>
      </c>
      <c r="D36" s="11">
        <f t="shared" si="0"/>
        <v>518</v>
      </c>
      <c r="E36" s="11"/>
      <c r="F36" s="11" t="s">
        <v>74</v>
      </c>
      <c r="G36" s="11"/>
      <c r="H36" s="11"/>
      <c r="I36" s="13"/>
      <c r="J36" s="11"/>
      <c r="K36" s="11"/>
      <c r="L36" s="11"/>
      <c r="M36" s="11"/>
      <c r="N36" s="11"/>
      <c r="O36" s="11"/>
      <c r="P36" s="11"/>
      <c r="Q36" s="11"/>
    </row>
    <row r="37" ht="16.5" spans="1:17">
      <c r="A37" s="11"/>
      <c r="B37" s="11" t="s">
        <v>75</v>
      </c>
      <c r="C37" s="11" t="s">
        <v>65</v>
      </c>
      <c r="D37" s="11">
        <f t="shared" si="0"/>
        <v>522</v>
      </c>
      <c r="E37" s="11"/>
      <c r="F37" s="11" t="s">
        <v>76</v>
      </c>
      <c r="G37" s="11"/>
      <c r="H37" s="11"/>
      <c r="I37" s="13"/>
      <c r="J37" s="11"/>
      <c r="K37" s="11"/>
      <c r="L37" s="11"/>
      <c r="M37" s="11"/>
      <c r="N37" s="11"/>
      <c r="O37" s="11"/>
      <c r="P37" s="11"/>
      <c r="Q37" s="11"/>
    </row>
    <row r="38" ht="16.5" spans="1:17">
      <c r="A38" s="11"/>
      <c r="B38" s="11" t="s">
        <v>77</v>
      </c>
      <c r="C38" s="11" t="s">
        <v>65</v>
      </c>
      <c r="D38" s="11">
        <f t="shared" si="0"/>
        <v>526</v>
      </c>
      <c r="E38" s="11"/>
      <c r="F38" s="11" t="s">
        <v>78</v>
      </c>
      <c r="G38" s="11"/>
      <c r="H38" s="11"/>
      <c r="I38" s="13"/>
      <c r="J38" s="11"/>
      <c r="K38" s="11"/>
      <c r="L38" s="11"/>
      <c r="M38" s="11"/>
      <c r="N38" s="11"/>
      <c r="O38" s="11"/>
      <c r="P38" s="11"/>
      <c r="Q38" s="11"/>
    </row>
    <row r="39" ht="16.5" spans="1:17">
      <c r="A39" s="11"/>
      <c r="B39" s="11" t="s">
        <v>79</v>
      </c>
      <c r="C39" s="11" t="s">
        <v>65</v>
      </c>
      <c r="D39" s="11">
        <f t="shared" si="0"/>
        <v>530</v>
      </c>
      <c r="E39" s="11"/>
      <c r="F39" s="11" t="s">
        <v>80</v>
      </c>
      <c r="G39" s="11"/>
      <c r="H39" s="11"/>
      <c r="I39" s="13"/>
      <c r="J39" s="11"/>
      <c r="K39" s="11"/>
      <c r="L39" s="11"/>
      <c r="M39" s="11"/>
      <c r="N39" s="11"/>
      <c r="O39" s="11"/>
      <c r="P39" s="11"/>
      <c r="Q39" s="11"/>
    </row>
    <row r="40" ht="16.5" spans="1:17">
      <c r="A40" s="11"/>
      <c r="B40" s="11" t="s">
        <v>81</v>
      </c>
      <c r="C40" s="11" t="s">
        <v>65</v>
      </c>
      <c r="D40" s="11">
        <f t="shared" si="0"/>
        <v>534</v>
      </c>
      <c r="E40" s="11"/>
      <c r="F40" s="11" t="s">
        <v>82</v>
      </c>
      <c r="G40" s="11"/>
      <c r="H40" s="11"/>
      <c r="I40" s="13"/>
      <c r="J40" s="11"/>
      <c r="K40" s="11"/>
      <c r="L40" s="11"/>
      <c r="M40" s="11"/>
      <c r="N40" s="11"/>
      <c r="O40" s="11"/>
      <c r="P40" s="11"/>
      <c r="Q40" s="11"/>
    </row>
    <row r="41" ht="16.5" spans="1:17">
      <c r="A41" s="11"/>
      <c r="B41" s="11" t="s">
        <v>83</v>
      </c>
      <c r="C41" s="11" t="s">
        <v>65</v>
      </c>
      <c r="D41" s="11">
        <f t="shared" si="0"/>
        <v>538</v>
      </c>
      <c r="E41" s="11"/>
      <c r="F41" s="11" t="s">
        <v>84</v>
      </c>
      <c r="G41" s="11"/>
      <c r="H41" s="11"/>
      <c r="I41" s="13"/>
      <c r="J41" s="11"/>
      <c r="K41" s="11"/>
      <c r="L41" s="11"/>
      <c r="M41" s="11"/>
      <c r="N41" s="11"/>
      <c r="O41" s="11"/>
      <c r="P41" s="11"/>
      <c r="Q41" s="11"/>
    </row>
    <row r="42" ht="16.5" spans="1:17">
      <c r="A42" s="11"/>
      <c r="B42" s="11" t="s">
        <v>85</v>
      </c>
      <c r="C42" s="11"/>
      <c r="D42" s="11">
        <f t="shared" si="0"/>
        <v>542</v>
      </c>
      <c r="E42" s="11"/>
      <c r="F42" s="11"/>
      <c r="G42" s="11"/>
      <c r="H42" s="11"/>
      <c r="I42" s="13"/>
      <c r="J42" s="11"/>
      <c r="K42" s="11"/>
      <c r="L42" s="11"/>
      <c r="M42" s="11"/>
      <c r="N42" s="11"/>
      <c r="O42" s="11"/>
      <c r="P42" s="11"/>
      <c r="Q42" s="11"/>
    </row>
    <row r="43" ht="16.5" spans="1:17">
      <c r="A43" s="6" t="s">
        <v>29</v>
      </c>
      <c r="B43" s="7"/>
      <c r="C43" s="7"/>
      <c r="D43" s="7"/>
      <c r="E43" s="7"/>
      <c r="F43" s="7"/>
      <c r="G43" s="7"/>
      <c r="H43" s="7"/>
      <c r="I43" s="12" t="s">
        <v>86</v>
      </c>
      <c r="J43" s="9" t="s">
        <v>31</v>
      </c>
      <c r="K43" s="7"/>
      <c r="L43" s="7"/>
      <c r="M43" s="7"/>
      <c r="N43" s="7"/>
      <c r="O43" s="7"/>
      <c r="P43" s="7"/>
      <c r="Q43" s="7"/>
    </row>
    <row r="44" ht="16.5" spans="1:17">
      <c r="A44" s="7"/>
      <c r="B44" s="7"/>
      <c r="C44" s="7"/>
      <c r="D44" s="7"/>
      <c r="E44" s="7"/>
      <c r="F44" s="7"/>
      <c r="G44" s="7"/>
      <c r="H44" s="7"/>
      <c r="I44" s="13"/>
      <c r="J44" s="7"/>
      <c r="K44" s="7"/>
      <c r="L44" s="7"/>
      <c r="M44" s="7"/>
      <c r="N44" s="7"/>
      <c r="O44" s="7"/>
      <c r="P44" s="7"/>
      <c r="Q44" s="7"/>
    </row>
    <row r="45" ht="16.5" spans="1:17">
      <c r="A45" s="11"/>
      <c r="B45" s="11" t="s">
        <v>37</v>
      </c>
      <c r="C45" s="11" t="s">
        <v>34</v>
      </c>
      <c r="D45" s="11">
        <f>D42+58</f>
        <v>600</v>
      </c>
      <c r="E45" s="11"/>
      <c r="F45" s="11" t="s">
        <v>38</v>
      </c>
      <c r="G45" s="11"/>
      <c r="H45" s="11"/>
      <c r="I45" s="13"/>
      <c r="J45" s="11"/>
      <c r="K45" s="11" t="s">
        <v>39</v>
      </c>
      <c r="L45" s="11" t="s">
        <v>34</v>
      </c>
      <c r="M45" s="11">
        <f>M33+96</f>
        <v>4502</v>
      </c>
      <c r="N45" s="11"/>
      <c r="O45" s="11" t="s">
        <v>40</v>
      </c>
      <c r="P45" s="11"/>
      <c r="Q45" s="11"/>
    </row>
    <row r="46" ht="16.5" spans="1:17">
      <c r="A46" s="11"/>
      <c r="B46" s="11" t="s">
        <v>41</v>
      </c>
      <c r="C46" s="11" t="s">
        <v>42</v>
      </c>
      <c r="D46" s="11">
        <f>D45+2</f>
        <v>602</v>
      </c>
      <c r="E46" s="11"/>
      <c r="F46" s="11" t="s">
        <v>43</v>
      </c>
      <c r="G46" s="11"/>
      <c r="H46" s="11"/>
      <c r="I46" s="13"/>
      <c r="J46" s="11"/>
      <c r="K46" s="11" t="s">
        <v>44</v>
      </c>
      <c r="L46" s="11" t="s">
        <v>45</v>
      </c>
      <c r="M46" s="11">
        <f>M45+2</f>
        <v>4504</v>
      </c>
      <c r="N46" s="11"/>
      <c r="O46" s="11" t="s">
        <v>46</v>
      </c>
      <c r="P46" s="11"/>
      <c r="Q46" s="11"/>
    </row>
    <row r="47" ht="16.5" spans="1:17">
      <c r="A47" s="11"/>
      <c r="B47" s="11" t="s">
        <v>87</v>
      </c>
      <c r="C47" s="11" t="s">
        <v>88</v>
      </c>
      <c r="D47" s="11">
        <f>D46+26</f>
        <v>628</v>
      </c>
      <c r="E47" s="11"/>
      <c r="F47" s="11" t="s">
        <v>89</v>
      </c>
      <c r="G47" s="11"/>
      <c r="H47" s="11"/>
      <c r="I47" s="13"/>
      <c r="J47" s="11"/>
      <c r="K47" s="11" t="s">
        <v>48</v>
      </c>
      <c r="L47" s="11"/>
      <c r="M47" s="11">
        <f>M46+2</f>
        <v>4506</v>
      </c>
      <c r="N47" s="11"/>
      <c r="O47" s="11"/>
      <c r="P47" s="11"/>
      <c r="Q47" s="11"/>
    </row>
    <row r="48" ht="16.5" spans="1:17">
      <c r="A48" s="11"/>
      <c r="B48" s="11" t="s">
        <v>90</v>
      </c>
      <c r="C48" s="11" t="s">
        <v>65</v>
      </c>
      <c r="D48" s="11">
        <f>D47+12</f>
        <v>640</v>
      </c>
      <c r="E48" s="11"/>
      <c r="F48" s="11" t="s">
        <v>91</v>
      </c>
      <c r="G48" s="11"/>
      <c r="H48" s="11"/>
      <c r="I48" s="13"/>
      <c r="J48" s="11"/>
      <c r="K48" s="11"/>
      <c r="L48" s="11"/>
      <c r="M48" s="11"/>
      <c r="N48" s="11"/>
      <c r="O48" s="11"/>
      <c r="P48" s="11"/>
      <c r="Q48" s="11"/>
    </row>
    <row r="49" ht="16.5" spans="1:17">
      <c r="A49" s="11"/>
      <c r="B49" s="11" t="s">
        <v>92</v>
      </c>
      <c r="C49" s="11" t="s">
        <v>65</v>
      </c>
      <c r="D49" s="11">
        <f t="shared" ref="D49:D58" si="1">D48+4</f>
        <v>644</v>
      </c>
      <c r="E49" s="11"/>
      <c r="F49" s="11" t="s">
        <v>93</v>
      </c>
      <c r="G49" s="11"/>
      <c r="H49" s="11"/>
      <c r="I49" s="13"/>
      <c r="J49" s="11"/>
      <c r="K49" s="11"/>
      <c r="L49" s="11"/>
      <c r="M49" s="11"/>
      <c r="N49" s="11"/>
      <c r="O49" s="11"/>
      <c r="P49" s="11"/>
      <c r="Q49" s="11"/>
    </row>
    <row r="50" ht="16.5" spans="1:17">
      <c r="A50" s="11"/>
      <c r="B50" s="11" t="s">
        <v>94</v>
      </c>
      <c r="C50" s="11" t="s">
        <v>65</v>
      </c>
      <c r="D50" s="11">
        <f t="shared" si="1"/>
        <v>648</v>
      </c>
      <c r="E50" s="11"/>
      <c r="F50" s="11" t="s">
        <v>95</v>
      </c>
      <c r="G50" s="11"/>
      <c r="H50" s="11"/>
      <c r="I50" s="13"/>
      <c r="J50" s="11"/>
      <c r="K50" s="11"/>
      <c r="L50" s="11"/>
      <c r="M50" s="11"/>
      <c r="N50" s="11"/>
      <c r="O50" s="11"/>
      <c r="P50" s="11"/>
      <c r="Q50" s="11"/>
    </row>
    <row r="51" ht="16.5" spans="1:17">
      <c r="A51" s="11"/>
      <c r="B51" s="11" t="s">
        <v>96</v>
      </c>
      <c r="C51" s="11" t="s">
        <v>65</v>
      </c>
      <c r="D51" s="11">
        <f t="shared" si="1"/>
        <v>652</v>
      </c>
      <c r="E51" s="11"/>
      <c r="F51" s="11" t="s">
        <v>97</v>
      </c>
      <c r="G51" s="11"/>
      <c r="H51" s="11"/>
      <c r="I51" s="13"/>
      <c r="J51" s="11"/>
      <c r="K51" s="11"/>
      <c r="L51" s="11"/>
      <c r="M51" s="11"/>
      <c r="N51" s="11"/>
      <c r="O51" s="11"/>
      <c r="P51" s="11"/>
      <c r="Q51" s="11"/>
    </row>
    <row r="52" ht="16.5" spans="1:17">
      <c r="A52" s="11"/>
      <c r="B52" s="11" t="s">
        <v>98</v>
      </c>
      <c r="C52" s="11" t="s">
        <v>65</v>
      </c>
      <c r="D52" s="11">
        <f t="shared" si="1"/>
        <v>656</v>
      </c>
      <c r="E52" s="11"/>
      <c r="F52" s="11" t="s">
        <v>99</v>
      </c>
      <c r="G52" s="11"/>
      <c r="H52" s="11"/>
      <c r="I52" s="13"/>
      <c r="J52" s="11"/>
      <c r="K52" s="11"/>
      <c r="L52" s="11"/>
      <c r="M52" s="11"/>
      <c r="N52" s="11"/>
      <c r="O52" s="11"/>
      <c r="P52" s="11"/>
      <c r="Q52" s="11"/>
    </row>
    <row r="53" ht="16.5" spans="1:17">
      <c r="A53" s="11"/>
      <c r="B53" s="11" t="s">
        <v>100</v>
      </c>
      <c r="C53" s="11" t="s">
        <v>65</v>
      </c>
      <c r="D53" s="11">
        <f t="shared" si="1"/>
        <v>660</v>
      </c>
      <c r="E53" s="11"/>
      <c r="F53" s="11" t="s">
        <v>101</v>
      </c>
      <c r="G53" s="11"/>
      <c r="H53" s="11"/>
      <c r="I53" s="13"/>
      <c r="J53" s="11"/>
      <c r="K53" s="11"/>
      <c r="L53" s="11"/>
      <c r="M53" s="11"/>
      <c r="N53" s="11"/>
      <c r="O53" s="11"/>
      <c r="P53" s="11"/>
      <c r="Q53" s="11"/>
    </row>
    <row r="54" ht="16.5" spans="1:17">
      <c r="A54" s="11"/>
      <c r="B54" s="11" t="s">
        <v>102</v>
      </c>
      <c r="C54" s="11" t="s">
        <v>65</v>
      </c>
      <c r="D54" s="11">
        <f t="shared" si="1"/>
        <v>664</v>
      </c>
      <c r="E54" s="11"/>
      <c r="F54" s="11" t="s">
        <v>103</v>
      </c>
      <c r="G54" s="11"/>
      <c r="H54" s="11"/>
      <c r="I54" s="13"/>
      <c r="J54" s="11"/>
      <c r="K54" s="11"/>
      <c r="L54" s="11"/>
      <c r="M54" s="11"/>
      <c r="N54" s="11"/>
      <c r="O54" s="11"/>
      <c r="P54" s="11"/>
      <c r="Q54" s="11"/>
    </row>
    <row r="55" ht="16.5" spans="1:17">
      <c r="A55" s="11"/>
      <c r="B55" s="11" t="s">
        <v>104</v>
      </c>
      <c r="C55" s="11" t="s">
        <v>65</v>
      </c>
      <c r="D55" s="11">
        <f t="shared" si="1"/>
        <v>668</v>
      </c>
      <c r="E55" s="11"/>
      <c r="F55" s="11" t="s">
        <v>105</v>
      </c>
      <c r="G55" s="11"/>
      <c r="H55" s="11"/>
      <c r="I55" s="13"/>
      <c r="J55" s="11"/>
      <c r="K55" s="11"/>
      <c r="L55" s="11"/>
      <c r="M55" s="11"/>
      <c r="N55" s="11"/>
      <c r="O55" s="11"/>
      <c r="P55" s="11"/>
      <c r="Q55" s="11"/>
    </row>
    <row r="56" ht="16.5" spans="1:17">
      <c r="A56" s="11"/>
      <c r="B56" s="11" t="s">
        <v>106</v>
      </c>
      <c r="C56" s="11" t="s">
        <v>65</v>
      </c>
      <c r="D56" s="11">
        <f t="shared" si="1"/>
        <v>672</v>
      </c>
      <c r="E56" s="11"/>
      <c r="F56" s="11" t="s">
        <v>107</v>
      </c>
      <c r="G56" s="11"/>
      <c r="H56" s="11"/>
      <c r="I56" s="13"/>
      <c r="J56" s="11"/>
      <c r="K56" s="11"/>
      <c r="L56" s="11"/>
      <c r="M56" s="11"/>
      <c r="N56" s="11"/>
      <c r="O56" s="11"/>
      <c r="P56" s="11"/>
      <c r="Q56" s="11"/>
    </row>
    <row r="57" ht="16.5" spans="1:17">
      <c r="A57" s="11"/>
      <c r="B57" s="11" t="s">
        <v>108</v>
      </c>
      <c r="C57" s="11" t="s">
        <v>65</v>
      </c>
      <c r="D57" s="11">
        <f t="shared" si="1"/>
        <v>676</v>
      </c>
      <c r="E57" s="11"/>
      <c r="F57" s="11" t="s">
        <v>109</v>
      </c>
      <c r="G57" s="11"/>
      <c r="H57" s="11"/>
      <c r="I57" s="13"/>
      <c r="J57" s="11"/>
      <c r="K57" s="11"/>
      <c r="L57" s="11"/>
      <c r="M57" s="11"/>
      <c r="N57" s="11"/>
      <c r="O57" s="11"/>
      <c r="P57" s="11"/>
      <c r="Q57" s="11"/>
    </row>
    <row r="58" ht="16.5" spans="1:17">
      <c r="A58" s="11"/>
      <c r="B58" s="11" t="s">
        <v>110</v>
      </c>
      <c r="C58" s="11"/>
      <c r="D58" s="11">
        <f t="shared" si="1"/>
        <v>680</v>
      </c>
      <c r="E58" s="11"/>
      <c r="F58" s="11"/>
      <c r="G58" s="11"/>
      <c r="H58" s="11"/>
      <c r="I58" s="13"/>
      <c r="J58" s="11"/>
      <c r="K58" s="11"/>
      <c r="L58" s="11"/>
      <c r="M58" s="11"/>
      <c r="N58" s="11"/>
      <c r="O58" s="11"/>
      <c r="P58" s="11"/>
      <c r="Q58" s="11"/>
    </row>
    <row r="59" customHeight="1" spans="1:17">
      <c r="A59" s="6" t="s">
        <v>29</v>
      </c>
      <c r="B59" s="7"/>
      <c r="C59" s="7"/>
      <c r="D59" s="7"/>
      <c r="E59" s="7"/>
      <c r="F59" s="7"/>
      <c r="G59" s="7"/>
      <c r="H59" s="7"/>
      <c r="I59" s="12" t="s">
        <v>111</v>
      </c>
      <c r="J59" s="9" t="s">
        <v>31</v>
      </c>
      <c r="K59" s="7"/>
      <c r="L59" s="7"/>
      <c r="M59" s="7"/>
      <c r="N59" s="7"/>
      <c r="O59" s="7"/>
      <c r="P59" s="7"/>
      <c r="Q59" s="7"/>
    </row>
    <row r="60" customHeight="1" spans="1:17">
      <c r="A60" s="7"/>
      <c r="B60" s="7"/>
      <c r="C60" s="7"/>
      <c r="D60" s="7"/>
      <c r="E60" s="7"/>
      <c r="F60" s="7"/>
      <c r="G60" s="7"/>
      <c r="H60" s="7"/>
      <c r="I60" s="13"/>
      <c r="J60" s="7"/>
      <c r="K60" s="7"/>
      <c r="L60" s="7"/>
      <c r="M60" s="7"/>
      <c r="N60" s="7"/>
      <c r="O60" s="7"/>
      <c r="P60" s="7"/>
      <c r="Q60" s="7"/>
    </row>
    <row r="61" customHeight="1" spans="1:17">
      <c r="B61" t="s">
        <v>37</v>
      </c>
      <c r="C61" t="s">
        <v>34</v>
      </c>
      <c r="D61">
        <f>D58+120</f>
        <v>800</v>
      </c>
      <c r="F61" t="s">
        <v>38</v>
      </c>
      <c r="I61" s="13"/>
      <c r="K61" s="11" t="s">
        <v>39</v>
      </c>
      <c r="L61" s="11" t="s">
        <v>34</v>
      </c>
      <c r="M61" s="11">
        <f>M47+96</f>
        <v>4602</v>
      </c>
      <c r="N61" s="11"/>
      <c r="O61" s="11" t="s">
        <v>40</v>
      </c>
    </row>
    <row r="62" customHeight="1" spans="1:17">
      <c r="B62" t="s">
        <v>112</v>
      </c>
      <c r="C62" t="s">
        <v>42</v>
      </c>
      <c r="D62">
        <f>D61+2</f>
        <v>802</v>
      </c>
      <c r="F62" t="s">
        <v>113</v>
      </c>
      <c r="I62" s="13"/>
      <c r="K62" s="11" t="s">
        <v>44</v>
      </c>
      <c r="L62" s="11" t="s">
        <v>45</v>
      </c>
      <c r="M62" s="11">
        <f>M61+2</f>
        <v>4604</v>
      </c>
      <c r="N62" s="11"/>
      <c r="O62" s="11" t="s">
        <v>46</v>
      </c>
    </row>
    <row r="63" customHeight="1" spans="1:17">
      <c r="B63" t="s">
        <v>114</v>
      </c>
      <c r="C63" t="s">
        <v>42</v>
      </c>
      <c r="D63">
        <f>D62+26</f>
        <v>828</v>
      </c>
      <c r="F63" t="s">
        <v>115</v>
      </c>
      <c r="I63" s="13"/>
    </row>
    <row r="64" customHeight="1" spans="1:17">
      <c r="B64" t="s">
        <v>116</v>
      </c>
      <c r="C64" t="s">
        <v>117</v>
      </c>
      <c r="D64">
        <f>D63+26</f>
        <v>854</v>
      </c>
      <c r="F64" t="s">
        <v>118</v>
      </c>
      <c r="I64" s="13"/>
    </row>
    <row r="65" customHeight="1" spans="9:9">
      <c r="I65" s="13"/>
    </row>
  </sheetData>
  <mergeCells count="24">
    <mergeCell ref="I2:I4"/>
    <mergeCell ref="I5:I9"/>
    <mergeCell ref="I10:I15"/>
    <mergeCell ref="I16:I21"/>
    <mergeCell ref="I22:I28"/>
    <mergeCell ref="I29:I42"/>
    <mergeCell ref="I43:I58"/>
    <mergeCell ref="I59:I65"/>
    <mergeCell ref="A2:H3"/>
    <mergeCell ref="J2:Q3"/>
    <mergeCell ref="A5:H6"/>
    <mergeCell ref="J5:Q6"/>
    <mergeCell ref="A10:H11"/>
    <mergeCell ref="J10:Q11"/>
    <mergeCell ref="A16:H17"/>
    <mergeCell ref="J16:Q17"/>
    <mergeCell ref="A22:H23"/>
    <mergeCell ref="J22:Q23"/>
    <mergeCell ref="A29:H30"/>
    <mergeCell ref="J29:Q30"/>
    <mergeCell ref="A43:H44"/>
    <mergeCell ref="J43:Q44"/>
    <mergeCell ref="A59:H60"/>
    <mergeCell ref="J59:Q60"/>
  </mergeCells>
  <pageMargins left="0.7875" right="0.7875" top="0.7875" bottom="0.7875" header="0.39375" footer="0.39375"/>
  <pageSetup paperSize="9" fitToWidth="0" pageOrder="overThenDown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2"/>
  <sheetViews>
    <sheetView zoomScale="85" zoomScaleNormal="85" topLeftCell="F40" workbookViewId="0">
      <selection activeCell="M71" sqref="M71"/>
    </sheetView>
  </sheetViews>
  <sheetFormatPr defaultColWidth="13.6416666666667" defaultRowHeight="18" customHeight="1"/>
  <cols>
    <col min="1" max="1" width="10.7083333333333" customWidth="1"/>
    <col min="2" max="2" width="24.7083333333333" customWidth="1"/>
    <col min="3" max="3" width="48.7083333333333" customWidth="1"/>
    <col min="4" max="4" width="18.7083333333333" customWidth="1"/>
    <col min="5" max="5" width="6.70833333333333" customWidth="1"/>
    <col min="6" max="6" width="56.7083333333333" customWidth="1"/>
    <col min="7" max="8" width="10.7083333333333" customWidth="1"/>
    <col min="9" max="9" width="34.7083333333333" customWidth="1"/>
    <col min="10" max="10" width="10.7083333333333" customWidth="1"/>
    <col min="11" max="11" width="21.7083333333333" customWidth="1"/>
    <col min="12" max="12" width="31.7083333333333" customWidth="1"/>
    <col min="13" max="13" width="18.7083333333333" customWidth="1"/>
    <col min="14" max="14" width="6.70833333333333" customWidth="1"/>
    <col min="15" max="15" width="57.7083333333333" customWidth="1"/>
    <col min="16" max="17" width="10.7083333333333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4" t="s">
        <v>28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</row>
    <row r="2" ht="16.5" spans="1:17">
      <c r="A2" s="6" t="s">
        <v>29</v>
      </c>
      <c r="B2" s="7"/>
      <c r="C2" s="7"/>
      <c r="D2" s="7"/>
      <c r="E2" s="7"/>
      <c r="F2" s="7"/>
      <c r="G2" s="7"/>
      <c r="H2" s="7"/>
      <c r="I2" s="8" t="s">
        <v>30</v>
      </c>
      <c r="J2" s="9" t="s">
        <v>31</v>
      </c>
      <c r="K2" s="7"/>
      <c r="L2" s="7"/>
      <c r="M2" s="7"/>
      <c r="N2" s="7"/>
      <c r="O2" s="7"/>
      <c r="P2" s="7"/>
      <c r="Q2" s="7"/>
    </row>
    <row r="3" ht="16.5" spans="1:17">
      <c r="A3" s="7"/>
      <c r="B3" s="7"/>
      <c r="C3" s="7"/>
      <c r="D3" s="7"/>
      <c r="E3" s="7"/>
      <c r="F3" s="7"/>
      <c r="G3" s="7"/>
      <c r="H3" s="7"/>
      <c r="I3" s="10"/>
      <c r="J3" s="7"/>
      <c r="K3" s="7"/>
      <c r="L3" s="7"/>
      <c r="M3" s="7"/>
      <c r="N3" s="7"/>
      <c r="O3" s="7"/>
      <c r="P3" s="7"/>
      <c r="Q3" s="7"/>
    </row>
    <row r="4" ht="16.5" spans="1:17">
      <c r="A4" s="11"/>
      <c r="B4" s="11" t="s">
        <v>32</v>
      </c>
      <c r="C4" s="11"/>
      <c r="D4" s="11">
        <v>0</v>
      </c>
      <c r="E4" s="11"/>
      <c r="F4" s="11"/>
      <c r="G4" s="11"/>
      <c r="H4" s="11">
        <v>200</v>
      </c>
      <c r="I4" s="10"/>
      <c r="J4" s="11"/>
      <c r="K4" s="11" t="s">
        <v>33</v>
      </c>
      <c r="L4" s="11" t="s">
        <v>34</v>
      </c>
      <c r="M4" s="11">
        <v>4000</v>
      </c>
      <c r="N4" s="11"/>
      <c r="O4" s="11" t="s">
        <v>35</v>
      </c>
      <c r="P4" s="11"/>
      <c r="Q4" s="11">
        <v>200</v>
      </c>
    </row>
    <row r="5" ht="16.5" spans="1:17">
      <c r="A5" s="6" t="s">
        <v>29</v>
      </c>
      <c r="B5" s="7"/>
      <c r="C5" s="7"/>
      <c r="D5" s="7"/>
      <c r="E5" s="7"/>
      <c r="F5" s="7"/>
      <c r="G5" s="7"/>
      <c r="H5" s="7"/>
      <c r="I5" s="12" t="s">
        <v>36</v>
      </c>
      <c r="J5" s="9" t="s">
        <v>31</v>
      </c>
      <c r="K5" s="7"/>
      <c r="L5" s="7"/>
      <c r="M5" s="7"/>
      <c r="N5" s="7"/>
      <c r="O5" s="7"/>
      <c r="P5" s="7"/>
      <c r="Q5" s="7"/>
    </row>
    <row r="6" ht="16.5" spans="1:17">
      <c r="A6" s="7"/>
      <c r="B6" s="7"/>
      <c r="C6" s="7"/>
      <c r="D6" s="7"/>
      <c r="E6" s="7"/>
      <c r="F6" s="7"/>
      <c r="G6" s="7"/>
      <c r="H6" s="7"/>
      <c r="I6" s="13"/>
      <c r="J6" s="7"/>
      <c r="K6" s="7"/>
      <c r="L6" s="7"/>
      <c r="M6" s="7"/>
      <c r="N6" s="7"/>
      <c r="O6" s="7"/>
      <c r="P6" s="7"/>
      <c r="Q6" s="7"/>
    </row>
    <row r="7" ht="16.5" spans="1:17">
      <c r="A7" s="11"/>
      <c r="B7" s="11" t="s">
        <v>37</v>
      </c>
      <c r="C7" s="11" t="s">
        <v>34</v>
      </c>
      <c r="D7" s="11">
        <v>100</v>
      </c>
      <c r="E7" s="11"/>
      <c r="F7" s="11" t="s">
        <v>38</v>
      </c>
      <c r="G7" s="11"/>
      <c r="H7" s="11"/>
      <c r="I7" s="13"/>
      <c r="J7" s="11"/>
      <c r="K7" s="11" t="s">
        <v>39</v>
      </c>
      <c r="L7" s="11" t="s">
        <v>34</v>
      </c>
      <c r="M7" s="11">
        <f>M4+2</f>
        <v>4002</v>
      </c>
      <c r="N7" s="11">
        <v>0</v>
      </c>
      <c r="O7" s="11" t="s">
        <v>40</v>
      </c>
      <c r="P7" s="11"/>
      <c r="Q7" s="11"/>
    </row>
    <row r="8" ht="16.5" spans="1:17">
      <c r="A8" s="11"/>
      <c r="B8" s="11" t="s">
        <v>41</v>
      </c>
      <c r="C8" s="11" t="s">
        <v>42</v>
      </c>
      <c r="D8" s="11">
        <f>D7+2</f>
        <v>102</v>
      </c>
      <c r="E8" s="11"/>
      <c r="F8" s="11" t="s">
        <v>43</v>
      </c>
      <c r="G8" s="11"/>
      <c r="H8" s="11"/>
      <c r="I8" s="13"/>
      <c r="J8" s="11"/>
      <c r="K8" s="11" t="s">
        <v>44</v>
      </c>
      <c r="L8" s="11" t="s">
        <v>45</v>
      </c>
      <c r="M8" s="11">
        <f>M7+2</f>
        <v>4004</v>
      </c>
      <c r="N8" s="11"/>
      <c r="O8" s="11" t="s">
        <v>46</v>
      </c>
      <c r="P8" s="11"/>
      <c r="Q8" s="11"/>
    </row>
    <row r="9" ht="16.5" spans="1:17">
      <c r="A9" s="11"/>
      <c r="B9" s="11" t="s">
        <v>47</v>
      </c>
      <c r="C9" s="11"/>
      <c r="D9" s="11">
        <f>D8+26</f>
        <v>128</v>
      </c>
      <c r="E9" s="11"/>
      <c r="F9" s="11"/>
      <c r="G9" s="11"/>
      <c r="H9" s="11"/>
      <c r="I9" s="13"/>
      <c r="J9" s="11"/>
      <c r="K9" s="11" t="s">
        <v>48</v>
      </c>
      <c r="L9" s="11"/>
      <c r="M9" s="11">
        <f>M8+2</f>
        <v>4006</v>
      </c>
      <c r="N9" s="11"/>
      <c r="O9" s="11"/>
      <c r="P9" s="11"/>
      <c r="Q9" s="11"/>
    </row>
    <row r="10" ht="16.5" spans="1:17">
      <c r="A10" s="6" t="s">
        <v>29</v>
      </c>
      <c r="B10" s="7"/>
      <c r="C10" s="7"/>
      <c r="D10" s="7"/>
      <c r="E10" s="7"/>
      <c r="F10" s="7"/>
      <c r="G10" s="7"/>
      <c r="H10" s="7"/>
      <c r="I10" s="12" t="s">
        <v>49</v>
      </c>
      <c r="J10" s="9" t="s">
        <v>31</v>
      </c>
      <c r="K10" s="7"/>
      <c r="L10" s="7"/>
      <c r="M10" s="7"/>
      <c r="N10" s="7"/>
      <c r="O10" s="7"/>
      <c r="P10" s="7"/>
      <c r="Q10" s="7"/>
    </row>
    <row r="11" ht="16.5" spans="1:17">
      <c r="A11" s="7"/>
      <c r="B11" s="7"/>
      <c r="C11" s="7"/>
      <c r="D11" s="7"/>
      <c r="E11" s="7"/>
      <c r="F11" s="7"/>
      <c r="G11" s="7"/>
      <c r="H11" s="7"/>
      <c r="I11" s="13"/>
      <c r="J11" s="7"/>
      <c r="K11" s="7"/>
      <c r="L11" s="7"/>
      <c r="M11" s="7"/>
      <c r="N11" s="7"/>
      <c r="O11" s="7"/>
      <c r="P11" s="7"/>
      <c r="Q11" s="7"/>
    </row>
    <row r="12" ht="16.5" spans="1:17">
      <c r="A12" s="11"/>
      <c r="B12" s="11" t="s">
        <v>37</v>
      </c>
      <c r="C12" s="11" t="s">
        <v>34</v>
      </c>
      <c r="D12" s="11">
        <f>D9+72</f>
        <v>200</v>
      </c>
      <c r="E12" s="11"/>
      <c r="F12" s="11" t="s">
        <v>38</v>
      </c>
      <c r="G12" s="11"/>
      <c r="H12" s="11"/>
      <c r="I12" s="13"/>
      <c r="J12" s="11"/>
      <c r="K12" s="11" t="s">
        <v>39</v>
      </c>
      <c r="L12" s="11" t="s">
        <v>34</v>
      </c>
      <c r="M12" s="11">
        <f>M9+96</f>
        <v>4102</v>
      </c>
      <c r="N12" s="11"/>
      <c r="O12" s="11" t="s">
        <v>40</v>
      </c>
      <c r="P12" s="11"/>
      <c r="Q12" s="11"/>
    </row>
    <row r="13" ht="16.5" spans="1:17">
      <c r="A13" s="11"/>
      <c r="B13" s="11" t="s">
        <v>41</v>
      </c>
      <c r="C13" s="11" t="s">
        <v>42</v>
      </c>
      <c r="D13" s="11">
        <f>D12+2</f>
        <v>202</v>
      </c>
      <c r="E13" s="11"/>
      <c r="F13" s="11" t="s">
        <v>43</v>
      </c>
      <c r="G13" s="11"/>
      <c r="H13" s="11"/>
      <c r="I13" s="13"/>
      <c r="J13" s="11"/>
      <c r="K13" s="11" t="s">
        <v>44</v>
      </c>
      <c r="L13" s="11" t="s">
        <v>45</v>
      </c>
      <c r="M13" s="11">
        <f>M12+2</f>
        <v>4104</v>
      </c>
      <c r="N13" s="11"/>
      <c r="O13" s="11" t="s">
        <v>46</v>
      </c>
      <c r="P13" s="11"/>
      <c r="Q13" s="11"/>
    </row>
    <row r="14" ht="16.5" spans="1:17">
      <c r="A14" s="11"/>
      <c r="B14" s="11" t="s">
        <v>50</v>
      </c>
      <c r="C14" s="11" t="s">
        <v>42</v>
      </c>
      <c r="D14" s="11">
        <f>D13+26</f>
        <v>228</v>
      </c>
      <c r="E14" s="11"/>
      <c r="F14" s="11" t="s">
        <v>51</v>
      </c>
      <c r="G14" s="11"/>
      <c r="H14" s="11"/>
      <c r="I14" s="13"/>
      <c r="J14" s="11"/>
      <c r="K14" s="11" t="s">
        <v>48</v>
      </c>
      <c r="L14" s="11"/>
      <c r="M14" s="11">
        <f>M13+2</f>
        <v>4106</v>
      </c>
      <c r="N14" s="11"/>
      <c r="O14" s="11"/>
      <c r="P14" s="11"/>
      <c r="Q14" s="11"/>
    </row>
    <row r="15" ht="16.5" spans="1:17">
      <c r="A15" s="11"/>
      <c r="B15" s="11" t="s">
        <v>52</v>
      </c>
      <c r="C15" s="11"/>
      <c r="D15" s="11">
        <f>D14+26</f>
        <v>254</v>
      </c>
      <c r="E15" s="11"/>
      <c r="F15" s="11"/>
      <c r="G15" s="11"/>
      <c r="H15" s="11"/>
      <c r="I15" s="13"/>
      <c r="J15" s="11"/>
      <c r="K15" s="11"/>
      <c r="L15" s="11"/>
      <c r="M15" s="11"/>
      <c r="N15" s="11"/>
      <c r="O15" s="11"/>
      <c r="P15" s="11"/>
      <c r="Q15" s="11"/>
    </row>
    <row r="16" ht="16.5" spans="1:17">
      <c r="A16" s="6" t="s">
        <v>29</v>
      </c>
      <c r="B16" s="7"/>
      <c r="C16" s="7"/>
      <c r="D16" s="7"/>
      <c r="E16" s="7"/>
      <c r="F16" s="7"/>
      <c r="G16" s="7"/>
      <c r="H16" s="7"/>
      <c r="I16" s="12" t="s">
        <v>53</v>
      </c>
      <c r="J16" s="9" t="s">
        <v>31</v>
      </c>
      <c r="K16" s="7"/>
      <c r="L16" s="7"/>
      <c r="M16" s="7"/>
      <c r="N16" s="7"/>
      <c r="O16" s="7"/>
      <c r="P16" s="7"/>
      <c r="Q16" s="7"/>
    </row>
    <row r="17" ht="16.5" spans="1:17">
      <c r="A17" s="7"/>
      <c r="B17" s="7"/>
      <c r="C17" s="7"/>
      <c r="D17" s="7"/>
      <c r="E17" s="7"/>
      <c r="F17" s="7"/>
      <c r="G17" s="7"/>
      <c r="H17" s="7"/>
      <c r="I17" s="13"/>
      <c r="J17" s="7"/>
      <c r="K17" s="7"/>
      <c r="L17" s="7"/>
      <c r="M17" s="7"/>
      <c r="N17" s="7"/>
      <c r="O17" s="7"/>
      <c r="P17" s="7"/>
      <c r="Q17" s="7"/>
    </row>
    <row r="18" ht="16.5" spans="1:17">
      <c r="A18" s="11"/>
      <c r="B18" s="11" t="s">
        <v>37</v>
      </c>
      <c r="C18" s="11" t="s">
        <v>34</v>
      </c>
      <c r="D18" s="11">
        <f>D15+46</f>
        <v>300</v>
      </c>
      <c r="E18" s="11"/>
      <c r="F18" s="11" t="s">
        <v>38</v>
      </c>
      <c r="G18" s="11"/>
      <c r="H18" s="11"/>
      <c r="I18" s="13"/>
      <c r="J18" s="11"/>
      <c r="K18" s="11" t="s">
        <v>39</v>
      </c>
      <c r="L18" s="11" t="s">
        <v>34</v>
      </c>
      <c r="M18" s="11">
        <f>M14+96</f>
        <v>4202</v>
      </c>
      <c r="N18" s="11"/>
      <c r="O18" s="11" t="s">
        <v>40</v>
      </c>
      <c r="P18" s="11"/>
      <c r="Q18" s="11"/>
    </row>
    <row r="19" ht="16.5" spans="1:17">
      <c r="A19" s="11"/>
      <c r="B19" s="11" t="s">
        <v>41</v>
      </c>
      <c r="C19" s="11" t="s">
        <v>42</v>
      </c>
      <c r="D19" s="11">
        <f>D18+2</f>
        <v>302</v>
      </c>
      <c r="E19" s="11"/>
      <c r="F19" s="11" t="s">
        <v>54</v>
      </c>
      <c r="G19" s="11"/>
      <c r="H19" s="11"/>
      <c r="I19" s="13"/>
      <c r="J19" s="11"/>
      <c r="K19" s="11" t="s">
        <v>44</v>
      </c>
      <c r="L19" s="11" t="s">
        <v>45</v>
      </c>
      <c r="M19" s="11">
        <f>M18+2</f>
        <v>4204</v>
      </c>
      <c r="N19" s="11"/>
      <c r="O19" s="11" t="s">
        <v>46</v>
      </c>
      <c r="P19" s="11"/>
      <c r="Q19" s="11"/>
    </row>
    <row r="20" ht="16.5" spans="1:17">
      <c r="A20" s="11"/>
      <c r="B20" s="11" t="s">
        <v>55</v>
      </c>
      <c r="C20" s="11" t="s">
        <v>42</v>
      </c>
      <c r="D20" s="11">
        <f>D19+26</f>
        <v>328</v>
      </c>
      <c r="E20" s="11"/>
      <c r="F20" s="11" t="s">
        <v>56</v>
      </c>
      <c r="G20" s="11"/>
      <c r="H20" s="11"/>
      <c r="I20" s="13"/>
      <c r="J20" s="11"/>
      <c r="K20" s="11" t="s">
        <v>48</v>
      </c>
      <c r="L20" s="11"/>
      <c r="M20" s="11">
        <f>M19+2</f>
        <v>4206</v>
      </c>
      <c r="N20" s="11"/>
      <c r="O20" s="11"/>
      <c r="P20" s="11"/>
      <c r="Q20" s="11"/>
    </row>
    <row r="21" ht="16.5" spans="1:17">
      <c r="A21" s="11"/>
      <c r="B21" s="11" t="s">
        <v>52</v>
      </c>
      <c r="C21" s="11"/>
      <c r="D21" s="11">
        <f>D20+26</f>
        <v>354</v>
      </c>
      <c r="E21" s="11"/>
      <c r="F21" s="11"/>
      <c r="G21" s="11"/>
      <c r="H21" s="11"/>
      <c r="I21" s="13"/>
      <c r="J21" s="11"/>
      <c r="K21" s="11"/>
      <c r="L21" s="11"/>
      <c r="M21" s="11"/>
      <c r="N21" s="11"/>
      <c r="O21" s="11"/>
      <c r="P21" s="11"/>
      <c r="Q21" s="11"/>
    </row>
    <row r="22" ht="16.5" spans="1:17">
      <c r="A22" s="6" t="s">
        <v>29</v>
      </c>
      <c r="B22" s="7"/>
      <c r="C22" s="7"/>
      <c r="D22" s="7"/>
      <c r="E22" s="7"/>
      <c r="F22" s="7"/>
      <c r="G22" s="7"/>
      <c r="H22" s="7"/>
      <c r="I22" s="12" t="s">
        <v>57</v>
      </c>
      <c r="J22" s="9" t="s">
        <v>31</v>
      </c>
      <c r="K22" s="7"/>
      <c r="L22" s="7"/>
      <c r="M22" s="7"/>
      <c r="N22" s="7"/>
      <c r="O22" s="7"/>
      <c r="P22" s="7"/>
      <c r="Q22" s="7"/>
    </row>
    <row r="23" ht="16.5" spans="1:17">
      <c r="A23" s="7"/>
      <c r="B23" s="7"/>
      <c r="C23" s="7"/>
      <c r="D23" s="7"/>
      <c r="E23" s="7"/>
      <c r="F23" s="7"/>
      <c r="G23" s="7"/>
      <c r="H23" s="7"/>
      <c r="I23" s="13"/>
      <c r="J23" s="7"/>
      <c r="K23" s="7"/>
      <c r="L23" s="7"/>
      <c r="M23" s="7"/>
      <c r="N23" s="7"/>
      <c r="O23" s="7"/>
      <c r="P23" s="7"/>
      <c r="Q23" s="7"/>
    </row>
    <row r="24" ht="16.5" spans="1:17">
      <c r="A24" s="11"/>
      <c r="B24" s="11" t="s">
        <v>37</v>
      </c>
      <c r="C24" s="11" t="s">
        <v>34</v>
      </c>
      <c r="D24" s="11">
        <f>D21+46</f>
        <v>400</v>
      </c>
      <c r="E24" s="11"/>
      <c r="F24" s="11" t="s">
        <v>38</v>
      </c>
      <c r="G24" s="11"/>
      <c r="H24" s="11"/>
      <c r="I24" s="13"/>
      <c r="J24" s="11"/>
      <c r="K24" s="11" t="s">
        <v>39</v>
      </c>
      <c r="L24" s="11" t="s">
        <v>34</v>
      </c>
      <c r="M24" s="11">
        <f>M20+96</f>
        <v>4302</v>
      </c>
      <c r="N24" s="11"/>
      <c r="O24" s="11" t="s">
        <v>40</v>
      </c>
      <c r="P24" s="11"/>
      <c r="Q24" s="11"/>
    </row>
    <row r="25" ht="16.5" spans="1:17">
      <c r="A25" s="11"/>
      <c r="B25" s="11" t="s">
        <v>58</v>
      </c>
      <c r="C25" s="11"/>
      <c r="D25" s="11">
        <f>D24+2</f>
        <v>402</v>
      </c>
      <c r="E25" s="11"/>
      <c r="F25" s="11"/>
      <c r="G25" s="11"/>
      <c r="H25" s="11"/>
      <c r="I25" s="13"/>
      <c r="J25" s="11"/>
      <c r="K25" s="11" t="s">
        <v>44</v>
      </c>
      <c r="L25" s="11" t="s">
        <v>45</v>
      </c>
      <c r="M25" s="11">
        <f>M24+2</f>
        <v>4304</v>
      </c>
      <c r="N25" s="11"/>
      <c r="O25" s="11" t="s">
        <v>46</v>
      </c>
      <c r="P25" s="11"/>
      <c r="Q25" s="11"/>
    </row>
    <row r="26" ht="16.5" spans="1:17">
      <c r="A26" s="11"/>
      <c r="B26" s="11"/>
      <c r="C26" s="11"/>
      <c r="D26" s="11"/>
      <c r="E26" s="11"/>
      <c r="F26" s="11"/>
      <c r="G26" s="11"/>
      <c r="H26" s="11"/>
      <c r="I26" s="13"/>
      <c r="J26" s="11"/>
      <c r="K26" s="11" t="s">
        <v>50</v>
      </c>
      <c r="L26" s="11" t="s">
        <v>42</v>
      </c>
      <c r="M26" s="11">
        <f>M25+2</f>
        <v>4306</v>
      </c>
      <c r="N26" s="11"/>
      <c r="O26" s="11" t="s">
        <v>60</v>
      </c>
      <c r="P26" s="11"/>
      <c r="Q26" s="11"/>
    </row>
    <row r="27" ht="16.5" spans="1:17">
      <c r="A27" s="11"/>
      <c r="B27" s="11"/>
      <c r="C27" s="11"/>
      <c r="D27" s="11"/>
      <c r="E27" s="11"/>
      <c r="F27" s="11"/>
      <c r="G27" s="11"/>
      <c r="H27" s="11"/>
      <c r="I27" s="13"/>
      <c r="J27" s="11"/>
      <c r="K27" s="11" t="s">
        <v>119</v>
      </c>
      <c r="L27" s="11"/>
      <c r="M27" s="11">
        <f>M26+26</f>
        <v>4332</v>
      </c>
      <c r="N27" s="11"/>
      <c r="O27" s="11"/>
      <c r="P27" s="11"/>
      <c r="Q27" s="11"/>
    </row>
    <row r="28" ht="16.5" spans="1:17">
      <c r="A28" s="6" t="s">
        <v>29</v>
      </c>
      <c r="B28" s="7"/>
      <c r="C28" s="7"/>
      <c r="D28" s="7"/>
      <c r="E28" s="7"/>
      <c r="F28" s="7"/>
      <c r="G28" s="7"/>
      <c r="H28" s="7"/>
      <c r="I28" s="14" t="s">
        <v>63</v>
      </c>
      <c r="J28" s="9" t="s">
        <v>31</v>
      </c>
      <c r="K28" s="7"/>
      <c r="L28" s="7"/>
      <c r="M28" s="7"/>
      <c r="N28" s="7"/>
      <c r="O28" s="7"/>
      <c r="P28" s="7"/>
      <c r="Q28" s="7"/>
    </row>
    <row r="29" ht="16.5" spans="1:17">
      <c r="A29" s="7"/>
      <c r="B29" s="7"/>
      <c r="C29" s="7"/>
      <c r="D29" s="7"/>
      <c r="E29" s="7"/>
      <c r="F29" s="7"/>
      <c r="G29" s="7"/>
      <c r="H29" s="7"/>
      <c r="I29" s="13"/>
      <c r="J29" s="7"/>
      <c r="K29" s="7"/>
      <c r="L29" s="7"/>
      <c r="M29" s="7"/>
      <c r="N29" s="7"/>
      <c r="O29" s="7"/>
      <c r="P29" s="7"/>
      <c r="Q29" s="7"/>
    </row>
    <row r="30" ht="16.5" spans="1:17">
      <c r="A30" s="11"/>
      <c r="B30" s="11" t="s">
        <v>37</v>
      </c>
      <c r="C30" s="11" t="s">
        <v>34</v>
      </c>
      <c r="D30" s="11">
        <f>D25+98</f>
        <v>500</v>
      </c>
      <c r="E30" s="11"/>
      <c r="F30" s="11" t="s">
        <v>38</v>
      </c>
      <c r="G30" s="11"/>
      <c r="H30" s="11"/>
      <c r="I30" s="13"/>
      <c r="J30" s="11"/>
      <c r="K30" s="11" t="s">
        <v>39</v>
      </c>
      <c r="L30" s="11" t="s">
        <v>34</v>
      </c>
      <c r="M30" s="11">
        <f>M27+70</f>
        <v>4402</v>
      </c>
      <c r="N30" s="11"/>
      <c r="O30" s="11" t="s">
        <v>40</v>
      </c>
      <c r="P30" s="11"/>
      <c r="Q30" s="11"/>
    </row>
    <row r="31" ht="16.5" spans="1:17">
      <c r="A31" s="11"/>
      <c r="B31" s="11" t="s">
        <v>120</v>
      </c>
      <c r="C31" s="11" t="s">
        <v>65</v>
      </c>
      <c r="D31" s="11">
        <f>D30+2</f>
        <v>502</v>
      </c>
      <c r="E31" s="11"/>
      <c r="F31" s="11" t="s">
        <v>121</v>
      </c>
      <c r="G31" s="11"/>
      <c r="H31" s="11"/>
      <c r="I31" s="13"/>
      <c r="J31" s="11"/>
      <c r="K31" s="11" t="s">
        <v>44</v>
      </c>
      <c r="L31" s="11" t="s">
        <v>45</v>
      </c>
      <c r="M31" s="11">
        <f>M30+2</f>
        <v>4404</v>
      </c>
      <c r="N31" s="11"/>
      <c r="O31" s="11" t="s">
        <v>46</v>
      </c>
      <c r="P31" s="11"/>
      <c r="Q31" s="11"/>
    </row>
    <row r="32" ht="16.5" spans="1:17">
      <c r="A32" s="11"/>
      <c r="B32" s="11" t="s">
        <v>64</v>
      </c>
      <c r="C32" s="11" t="s">
        <v>65</v>
      </c>
      <c r="D32" s="11">
        <f t="shared" ref="D32:D52" si="0">D31+4</f>
        <v>506</v>
      </c>
      <c r="E32" s="11"/>
      <c r="F32" s="11" t="s">
        <v>66</v>
      </c>
      <c r="G32" s="11"/>
      <c r="H32" s="11"/>
      <c r="I32" s="13"/>
      <c r="J32" s="11"/>
      <c r="K32" s="11" t="s">
        <v>48</v>
      </c>
      <c r="L32" s="11"/>
      <c r="M32" s="11">
        <f>M31+2</f>
        <v>4406</v>
      </c>
      <c r="N32" s="11"/>
      <c r="O32" s="11"/>
      <c r="P32" s="11"/>
      <c r="Q32" s="11"/>
    </row>
    <row r="33" ht="16.5" spans="1:17">
      <c r="A33" s="11"/>
      <c r="B33" s="11" t="s">
        <v>67</v>
      </c>
      <c r="C33" s="11" t="s">
        <v>65</v>
      </c>
      <c r="D33" s="11">
        <f t="shared" si="0"/>
        <v>510</v>
      </c>
      <c r="E33" s="11"/>
      <c r="F33" s="11" t="s">
        <v>68</v>
      </c>
      <c r="G33" s="11"/>
      <c r="H33" s="11"/>
      <c r="I33" s="13"/>
      <c r="J33" s="11"/>
      <c r="K33" s="11"/>
      <c r="L33" s="11"/>
      <c r="M33" s="11"/>
      <c r="N33" s="11"/>
      <c r="O33" s="11"/>
      <c r="P33" s="11"/>
      <c r="Q33" s="11"/>
    </row>
    <row r="34" ht="16.5" spans="1:17">
      <c r="A34" s="11"/>
      <c r="B34" s="11" t="s">
        <v>69</v>
      </c>
      <c r="C34" s="11" t="s">
        <v>65</v>
      </c>
      <c r="D34" s="11">
        <f t="shared" si="0"/>
        <v>514</v>
      </c>
      <c r="E34" s="11"/>
      <c r="F34" s="11" t="s">
        <v>70</v>
      </c>
      <c r="G34" s="11"/>
      <c r="H34" s="11"/>
      <c r="I34" s="13"/>
      <c r="J34" s="11"/>
      <c r="K34" s="11"/>
      <c r="L34" s="11"/>
      <c r="M34" s="11"/>
      <c r="N34" s="11"/>
      <c r="O34" s="11"/>
      <c r="P34" s="11"/>
      <c r="Q34" s="11"/>
    </row>
    <row r="35" ht="16.5" spans="1:17">
      <c r="A35" s="11"/>
      <c r="B35" s="11" t="s">
        <v>71</v>
      </c>
      <c r="C35" s="11" t="s">
        <v>65</v>
      </c>
      <c r="D35" s="11">
        <f t="shared" si="0"/>
        <v>518</v>
      </c>
      <c r="E35" s="11"/>
      <c r="F35" s="11" t="s">
        <v>72</v>
      </c>
      <c r="G35" s="11"/>
      <c r="H35" s="11"/>
      <c r="I35" s="13"/>
      <c r="J35" s="11"/>
      <c r="K35" s="11"/>
      <c r="L35" s="11"/>
      <c r="M35" s="11"/>
      <c r="N35" s="11"/>
      <c r="O35" s="11"/>
      <c r="P35" s="11"/>
      <c r="Q35" s="11"/>
    </row>
    <row r="36" ht="16.5" spans="1:17">
      <c r="A36" s="11"/>
      <c r="B36" s="11" t="s">
        <v>73</v>
      </c>
      <c r="C36" s="11" t="s">
        <v>65</v>
      </c>
      <c r="D36" s="11">
        <f t="shared" si="0"/>
        <v>522</v>
      </c>
      <c r="E36" s="11"/>
      <c r="F36" s="11" t="s">
        <v>74</v>
      </c>
      <c r="G36" s="11"/>
      <c r="H36" s="11"/>
      <c r="I36" s="13"/>
      <c r="J36" s="11"/>
      <c r="K36" s="11"/>
      <c r="L36" s="11"/>
      <c r="M36" s="11"/>
      <c r="N36" s="11"/>
      <c r="O36" s="11"/>
      <c r="P36" s="11"/>
      <c r="Q36" s="11"/>
    </row>
    <row r="37" ht="16.5" spans="1:17">
      <c r="A37" s="11"/>
      <c r="B37" s="11" t="s">
        <v>75</v>
      </c>
      <c r="C37" s="11" t="s">
        <v>65</v>
      </c>
      <c r="D37" s="11">
        <f t="shared" si="0"/>
        <v>526</v>
      </c>
      <c r="E37" s="11"/>
      <c r="F37" s="11" t="s">
        <v>76</v>
      </c>
      <c r="G37" s="11"/>
      <c r="H37" s="11"/>
      <c r="I37" s="13"/>
      <c r="J37" s="11"/>
      <c r="K37" s="11"/>
      <c r="L37" s="11"/>
      <c r="M37" s="11"/>
      <c r="N37" s="11"/>
      <c r="O37" s="11"/>
      <c r="P37" s="11"/>
      <c r="Q37" s="11"/>
    </row>
    <row r="38" ht="16.5" spans="1:17">
      <c r="A38" s="11"/>
      <c r="B38" s="11" t="s">
        <v>77</v>
      </c>
      <c r="C38" s="11" t="s">
        <v>65</v>
      </c>
      <c r="D38" s="11">
        <f t="shared" si="0"/>
        <v>530</v>
      </c>
      <c r="E38" s="11"/>
      <c r="F38" s="11" t="s">
        <v>78</v>
      </c>
      <c r="G38" s="11"/>
      <c r="H38" s="11"/>
      <c r="I38" s="13"/>
      <c r="J38" s="11"/>
      <c r="K38" s="11"/>
      <c r="L38" s="11"/>
      <c r="M38" s="11"/>
      <c r="N38" s="11"/>
      <c r="O38" s="11"/>
      <c r="P38" s="11"/>
      <c r="Q38" s="11"/>
    </row>
    <row r="39" ht="16.5" spans="1:17">
      <c r="A39" s="11"/>
      <c r="B39" s="11" t="s">
        <v>79</v>
      </c>
      <c r="C39" s="11" t="s">
        <v>65</v>
      </c>
      <c r="D39" s="11">
        <f t="shared" si="0"/>
        <v>534</v>
      </c>
      <c r="E39" s="11"/>
      <c r="F39" s="11" t="s">
        <v>80</v>
      </c>
      <c r="G39" s="11"/>
      <c r="H39" s="11"/>
      <c r="I39" s="13"/>
      <c r="J39" s="11"/>
      <c r="K39" s="11"/>
      <c r="L39" s="11"/>
      <c r="M39" s="11"/>
      <c r="N39" s="11"/>
      <c r="O39" s="11"/>
      <c r="P39" s="11"/>
      <c r="Q39" s="11"/>
    </row>
    <row r="40" ht="16.5" spans="1:17">
      <c r="A40" s="11"/>
      <c r="B40" s="11" t="s">
        <v>81</v>
      </c>
      <c r="C40" s="11" t="s">
        <v>65</v>
      </c>
      <c r="D40" s="11">
        <f t="shared" si="0"/>
        <v>538</v>
      </c>
      <c r="E40" s="11"/>
      <c r="F40" s="11" t="s">
        <v>82</v>
      </c>
      <c r="G40" s="11"/>
      <c r="H40" s="11"/>
      <c r="I40" s="13"/>
      <c r="J40" s="11"/>
      <c r="K40" s="11"/>
      <c r="L40" s="11"/>
      <c r="M40" s="11"/>
      <c r="N40" s="11"/>
      <c r="O40" s="11"/>
      <c r="P40" s="11"/>
      <c r="Q40" s="11"/>
    </row>
    <row r="41" ht="16.5" spans="1:17">
      <c r="A41" s="11"/>
      <c r="B41" s="11" t="s">
        <v>83</v>
      </c>
      <c r="C41" s="11" t="s">
        <v>65</v>
      </c>
      <c r="D41" s="11">
        <f t="shared" si="0"/>
        <v>542</v>
      </c>
      <c r="E41" s="11"/>
      <c r="F41" s="11" t="s">
        <v>84</v>
      </c>
      <c r="G41" s="11"/>
      <c r="H41" s="11"/>
      <c r="I41" s="13"/>
      <c r="J41" s="11"/>
      <c r="K41" s="11"/>
      <c r="L41" s="11"/>
      <c r="M41" s="11"/>
      <c r="N41" s="11"/>
      <c r="O41" s="11"/>
      <c r="P41" s="11"/>
      <c r="Q41" s="11"/>
    </row>
    <row r="42" ht="16.5" spans="1:17">
      <c r="A42" s="11"/>
      <c r="B42" s="11" t="s">
        <v>122</v>
      </c>
      <c r="C42" s="11" t="s">
        <v>65</v>
      </c>
      <c r="D42" s="11">
        <f t="shared" si="0"/>
        <v>546</v>
      </c>
      <c r="E42" s="11"/>
      <c r="F42" s="11" t="s">
        <v>123</v>
      </c>
      <c r="G42" s="11"/>
      <c r="H42" s="11"/>
      <c r="I42" s="13"/>
      <c r="J42" s="11"/>
      <c r="K42" s="11"/>
      <c r="L42" s="11"/>
      <c r="M42" s="11"/>
      <c r="N42" s="11"/>
      <c r="O42" s="11"/>
      <c r="P42" s="11"/>
      <c r="Q42" s="11"/>
    </row>
    <row r="43" ht="16.5" spans="1:17">
      <c r="A43" s="11"/>
      <c r="B43" s="11" t="s">
        <v>124</v>
      </c>
      <c r="C43" s="11" t="s">
        <v>65</v>
      </c>
      <c r="D43" s="11">
        <f t="shared" si="0"/>
        <v>550</v>
      </c>
      <c r="E43" s="11"/>
      <c r="F43" s="11" t="s">
        <v>125</v>
      </c>
      <c r="G43" s="11"/>
      <c r="H43" s="11"/>
      <c r="I43" s="13"/>
      <c r="J43" s="11"/>
      <c r="K43" s="11"/>
      <c r="L43" s="11"/>
      <c r="M43" s="11"/>
      <c r="N43" s="11"/>
      <c r="O43" s="11"/>
      <c r="P43" s="11"/>
      <c r="Q43" s="11"/>
    </row>
    <row r="44" ht="16.5" spans="1:17">
      <c r="A44" s="11"/>
      <c r="B44" s="11" t="s">
        <v>126</v>
      </c>
      <c r="C44" s="11" t="s">
        <v>65</v>
      </c>
      <c r="D44" s="11">
        <f t="shared" si="0"/>
        <v>554</v>
      </c>
      <c r="E44" s="11"/>
      <c r="F44" s="11" t="s">
        <v>127</v>
      </c>
      <c r="G44" s="11"/>
      <c r="H44" s="11"/>
      <c r="I44" s="13"/>
      <c r="J44" s="11"/>
      <c r="K44" s="11"/>
      <c r="L44" s="11"/>
      <c r="M44" s="11"/>
      <c r="N44" s="11"/>
      <c r="O44" s="11"/>
      <c r="P44" s="11"/>
      <c r="Q44" s="11"/>
    </row>
    <row r="45" ht="16.5" spans="1:17">
      <c r="A45" s="11"/>
      <c r="B45" s="11" t="s">
        <v>128</v>
      </c>
      <c r="C45" s="11" t="s">
        <v>65</v>
      </c>
      <c r="D45" s="11">
        <f t="shared" si="0"/>
        <v>558</v>
      </c>
      <c r="E45" s="11"/>
      <c r="F45" s="11" t="s">
        <v>129</v>
      </c>
      <c r="G45" s="11"/>
      <c r="H45" s="11"/>
      <c r="I45" s="13"/>
      <c r="J45" s="11"/>
      <c r="K45" s="11"/>
      <c r="L45" s="11"/>
      <c r="M45" s="11"/>
      <c r="N45" s="11"/>
      <c r="O45" s="11"/>
      <c r="P45" s="11"/>
      <c r="Q45" s="11"/>
    </row>
    <row r="46" ht="16.5" spans="1:17">
      <c r="A46" s="11"/>
      <c r="B46" s="11" t="s">
        <v>130</v>
      </c>
      <c r="C46" s="11" t="s">
        <v>65</v>
      </c>
      <c r="D46" s="11">
        <f t="shared" si="0"/>
        <v>562</v>
      </c>
      <c r="E46" s="11"/>
      <c r="F46" s="11" t="s">
        <v>131</v>
      </c>
      <c r="G46" s="11"/>
      <c r="H46" s="11"/>
      <c r="I46" s="13"/>
      <c r="J46" s="11"/>
      <c r="K46" s="11"/>
      <c r="L46" s="11"/>
      <c r="M46" s="11"/>
      <c r="N46" s="11"/>
      <c r="O46" s="11"/>
      <c r="P46" s="11"/>
      <c r="Q46" s="11"/>
    </row>
    <row r="47" ht="16.5" spans="1:17">
      <c r="A47" s="11"/>
      <c r="B47" s="11" t="s">
        <v>132</v>
      </c>
      <c r="C47" s="11" t="s">
        <v>65</v>
      </c>
      <c r="D47" s="11">
        <f t="shared" si="0"/>
        <v>566</v>
      </c>
      <c r="E47" s="11"/>
      <c r="F47" s="11" t="s">
        <v>133</v>
      </c>
      <c r="G47" s="11"/>
      <c r="H47" s="11"/>
      <c r="I47" s="13"/>
      <c r="J47" s="11"/>
      <c r="K47" s="11"/>
      <c r="L47" s="11"/>
      <c r="M47" s="11"/>
      <c r="N47" s="11"/>
      <c r="O47" s="11"/>
      <c r="P47" s="11"/>
      <c r="Q47" s="11"/>
    </row>
    <row r="48" ht="16.5" spans="1:17">
      <c r="A48" s="11"/>
      <c r="B48" s="11" t="s">
        <v>134</v>
      </c>
      <c r="C48" s="11" t="s">
        <v>65</v>
      </c>
      <c r="D48" s="11">
        <f t="shared" si="0"/>
        <v>570</v>
      </c>
      <c r="E48" s="11"/>
      <c r="F48" s="11" t="s">
        <v>135</v>
      </c>
      <c r="G48" s="11"/>
      <c r="H48" s="11"/>
      <c r="I48" s="18"/>
      <c r="J48" s="11"/>
      <c r="K48" s="11"/>
      <c r="L48" s="11"/>
      <c r="M48" s="11"/>
      <c r="N48" s="11"/>
      <c r="O48" s="11"/>
      <c r="P48" s="11"/>
      <c r="Q48" s="11"/>
    </row>
    <row r="49" ht="16.5" spans="1:17">
      <c r="A49" s="11"/>
      <c r="B49" s="11" t="s">
        <v>136</v>
      </c>
      <c r="C49" s="11" t="s">
        <v>65</v>
      </c>
      <c r="D49" s="11">
        <f t="shared" si="0"/>
        <v>574</v>
      </c>
      <c r="E49" s="11"/>
      <c r="F49" s="11" t="s">
        <v>137</v>
      </c>
      <c r="G49" s="11"/>
      <c r="H49" s="11"/>
      <c r="I49" s="13"/>
      <c r="J49" s="11"/>
      <c r="K49" s="11"/>
      <c r="L49" s="11"/>
      <c r="M49" s="11"/>
      <c r="N49" s="11"/>
      <c r="O49" s="11"/>
      <c r="P49" s="11"/>
      <c r="Q49" s="11"/>
    </row>
    <row r="50" ht="16.5" spans="1:17">
      <c r="A50" s="11"/>
      <c r="B50" s="11" t="s">
        <v>138</v>
      </c>
      <c r="C50" s="11" t="s">
        <v>65</v>
      </c>
      <c r="D50" s="11">
        <f t="shared" si="0"/>
        <v>578</v>
      </c>
      <c r="E50" s="11"/>
      <c r="F50" s="11" t="s">
        <v>139</v>
      </c>
      <c r="G50" s="11"/>
      <c r="H50" s="11"/>
      <c r="I50" s="13"/>
      <c r="J50" s="11"/>
      <c r="K50" s="11"/>
      <c r="L50" s="11"/>
      <c r="M50" s="11"/>
      <c r="N50" s="11"/>
      <c r="O50" s="11"/>
      <c r="P50" s="11"/>
      <c r="Q50" s="11"/>
    </row>
    <row r="51" ht="16.5" spans="1:17">
      <c r="A51" s="11"/>
      <c r="B51" s="11" t="s">
        <v>140</v>
      </c>
      <c r="C51" s="11" t="s">
        <v>65</v>
      </c>
      <c r="D51" s="11">
        <f t="shared" si="0"/>
        <v>582</v>
      </c>
      <c r="E51" s="11"/>
      <c r="F51" s="11" t="s">
        <v>141</v>
      </c>
      <c r="G51" s="11"/>
      <c r="H51" s="11"/>
      <c r="I51" s="13"/>
      <c r="J51" s="11"/>
      <c r="K51" s="11"/>
      <c r="L51" s="11"/>
      <c r="M51" s="11"/>
      <c r="N51" s="11"/>
      <c r="O51" s="11"/>
      <c r="P51" s="11"/>
      <c r="Q51" s="11"/>
    </row>
    <row r="52" ht="16.5" spans="1:17">
      <c r="A52" s="11"/>
      <c r="B52" s="11" t="s">
        <v>142</v>
      </c>
      <c r="C52" s="11"/>
      <c r="D52" s="11">
        <f t="shared" si="0"/>
        <v>586</v>
      </c>
      <c r="E52" s="11"/>
      <c r="F52" s="11"/>
      <c r="G52" s="11"/>
      <c r="H52" s="11"/>
      <c r="I52" s="13"/>
      <c r="J52" s="11"/>
      <c r="K52" s="11"/>
      <c r="L52" s="11"/>
      <c r="M52" s="11"/>
      <c r="N52" s="11"/>
      <c r="O52" s="11"/>
      <c r="P52" s="11"/>
      <c r="Q52" s="11"/>
    </row>
    <row r="53" ht="16.5" spans="1:17">
      <c r="A53" s="6" t="s">
        <v>29</v>
      </c>
      <c r="B53" s="15"/>
      <c r="C53" s="15"/>
      <c r="D53" s="15"/>
      <c r="E53" s="15"/>
      <c r="F53" s="15"/>
      <c r="G53" s="15"/>
      <c r="H53" s="15"/>
      <c r="I53" s="12" t="s">
        <v>86</v>
      </c>
      <c r="J53" s="9" t="s">
        <v>31</v>
      </c>
      <c r="K53" s="15"/>
      <c r="L53" s="15"/>
      <c r="M53" s="15"/>
      <c r="N53" s="15"/>
      <c r="O53" s="15"/>
      <c r="P53" s="15"/>
      <c r="Q53" s="15"/>
    </row>
    <row r="54" ht="16.5" spans="1:17">
      <c r="A54" s="15"/>
      <c r="B54" s="15"/>
      <c r="C54" s="15"/>
      <c r="D54" s="15"/>
      <c r="E54" s="15"/>
      <c r="F54" s="15"/>
      <c r="G54" s="15"/>
      <c r="H54" s="15"/>
      <c r="I54" s="13"/>
      <c r="J54" s="15"/>
      <c r="K54" s="15"/>
      <c r="L54" s="15"/>
      <c r="M54" s="15"/>
      <c r="N54" s="15"/>
      <c r="O54" s="15"/>
      <c r="P54" s="15"/>
      <c r="Q54" s="15"/>
    </row>
    <row r="55" ht="16.5" spans="1:17">
      <c r="A55" s="11"/>
      <c r="B55" s="11" t="s">
        <v>37</v>
      </c>
      <c r="C55" s="11" t="s">
        <v>34</v>
      </c>
      <c r="D55" s="11">
        <f>D52+34</f>
        <v>620</v>
      </c>
      <c r="E55" s="11"/>
      <c r="F55" s="11" t="s">
        <v>38</v>
      </c>
      <c r="G55" s="11"/>
      <c r="H55" s="11"/>
      <c r="I55" s="13"/>
      <c r="J55" s="11"/>
      <c r="K55" s="11" t="s">
        <v>39</v>
      </c>
      <c r="L55" s="11" t="s">
        <v>34</v>
      </c>
      <c r="M55" s="11">
        <f>M32+96</f>
        <v>4502</v>
      </c>
      <c r="N55" s="11"/>
      <c r="O55" s="11" t="s">
        <v>40</v>
      </c>
      <c r="P55" s="11"/>
      <c r="Q55" s="11"/>
    </row>
    <row r="56" ht="16.5" spans="1:17">
      <c r="A56" s="11"/>
      <c r="B56" s="11" t="s">
        <v>41</v>
      </c>
      <c r="C56" s="11" t="s">
        <v>42</v>
      </c>
      <c r="D56" s="11">
        <f>D55+2</f>
        <v>622</v>
      </c>
      <c r="E56" s="11"/>
      <c r="F56" s="11" t="s">
        <v>43</v>
      </c>
      <c r="G56" s="11"/>
      <c r="H56" s="11"/>
      <c r="I56" s="13"/>
      <c r="J56" s="11"/>
      <c r="K56" s="11" t="s">
        <v>44</v>
      </c>
      <c r="L56" s="11" t="s">
        <v>45</v>
      </c>
      <c r="M56" s="11">
        <f>M55+2</f>
        <v>4504</v>
      </c>
      <c r="N56" s="11"/>
      <c r="O56" s="11" t="s">
        <v>46</v>
      </c>
      <c r="P56" s="11"/>
      <c r="Q56" s="11"/>
    </row>
    <row r="57" ht="16.5" spans="1:17">
      <c r="A57" s="11"/>
      <c r="B57" s="11" t="s">
        <v>87</v>
      </c>
      <c r="C57" s="11" t="s">
        <v>88</v>
      </c>
      <c r="D57" s="11">
        <f>D56+26</f>
        <v>648</v>
      </c>
      <c r="E57" s="11"/>
      <c r="F57" s="11" t="s">
        <v>89</v>
      </c>
      <c r="G57" s="11"/>
      <c r="H57" s="11"/>
      <c r="I57" s="13"/>
      <c r="J57" s="11"/>
      <c r="K57" s="11" t="s">
        <v>143</v>
      </c>
      <c r="L57" s="11"/>
      <c r="M57" s="11">
        <f>M56+2</f>
        <v>4506</v>
      </c>
      <c r="N57" s="11"/>
      <c r="O57" s="11"/>
      <c r="P57" s="11"/>
      <c r="Q57" s="11"/>
    </row>
    <row r="58" ht="16.5" spans="1:17">
      <c r="A58" s="11"/>
      <c r="B58" s="11" t="s">
        <v>144</v>
      </c>
      <c r="C58" s="11" t="s">
        <v>145</v>
      </c>
      <c r="D58" s="11">
        <f>D57+12</f>
        <v>660</v>
      </c>
      <c r="E58" s="11"/>
      <c r="F58" s="11" t="s">
        <v>146</v>
      </c>
      <c r="G58" s="11"/>
      <c r="H58" s="11"/>
      <c r="I58" s="13"/>
      <c r="J58" s="11"/>
      <c r="K58" s="11"/>
      <c r="L58" s="11"/>
      <c r="M58" s="11"/>
      <c r="N58" s="11"/>
      <c r="O58" s="11"/>
      <c r="P58" s="11"/>
      <c r="Q58" s="11"/>
    </row>
    <row r="59" ht="16.5" spans="1:17">
      <c r="A59" s="11"/>
      <c r="B59" s="11" t="s">
        <v>147</v>
      </c>
      <c r="C59" s="11"/>
      <c r="D59" s="11">
        <f>D58+16*21</f>
        <v>996</v>
      </c>
      <c r="E59" s="11"/>
      <c r="F59" s="11"/>
      <c r="G59" s="11"/>
      <c r="H59" s="11"/>
      <c r="I59" s="13"/>
      <c r="J59" s="11"/>
      <c r="K59" s="11"/>
      <c r="L59" s="11"/>
      <c r="M59" s="11"/>
      <c r="N59" s="11"/>
      <c r="O59" s="11"/>
      <c r="P59" s="11"/>
      <c r="Q59" s="11"/>
    </row>
    <row r="60" ht="16.5" spans="1:17">
      <c r="A60" s="11"/>
      <c r="B60" s="11"/>
      <c r="C60" s="11"/>
      <c r="D60" s="11"/>
      <c r="E60" s="11"/>
      <c r="F60" s="11"/>
      <c r="G60" s="11"/>
      <c r="H60" s="11"/>
      <c r="I60" s="13"/>
      <c r="J60" s="11"/>
      <c r="K60" s="11"/>
      <c r="L60" s="11"/>
      <c r="M60" s="11"/>
      <c r="N60" s="11"/>
      <c r="O60" s="11"/>
      <c r="P60" s="11"/>
      <c r="Q60" s="11"/>
    </row>
    <row r="61" ht="16.5" spans="1:17">
      <c r="A61" s="6" t="s">
        <v>29</v>
      </c>
      <c r="B61" s="15"/>
      <c r="C61" s="15"/>
      <c r="D61" s="15"/>
      <c r="E61" s="15"/>
      <c r="F61" s="15"/>
      <c r="G61" s="15"/>
      <c r="H61" s="15"/>
      <c r="I61" s="8" t="s">
        <v>148</v>
      </c>
      <c r="J61" s="9" t="s">
        <v>31</v>
      </c>
      <c r="K61" s="15"/>
      <c r="L61" s="15"/>
      <c r="M61" s="15"/>
      <c r="N61" s="15"/>
      <c r="O61" s="15"/>
      <c r="P61" s="15"/>
      <c r="Q61" s="15"/>
    </row>
    <row r="62" ht="16.5" spans="1:17">
      <c r="A62" s="15"/>
      <c r="B62" s="15"/>
      <c r="C62" s="15"/>
      <c r="D62" s="15"/>
      <c r="E62" s="15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</row>
    <row r="63" ht="16.5" spans="1:17">
      <c r="A63" s="11"/>
      <c r="B63" s="11" t="s">
        <v>37</v>
      </c>
      <c r="C63" s="11" t="s">
        <v>34</v>
      </c>
      <c r="D63" s="11">
        <f>D59+40</f>
        <v>1036</v>
      </c>
      <c r="E63" s="11"/>
      <c r="F63" s="11" t="s">
        <v>38</v>
      </c>
      <c r="G63" s="11"/>
      <c r="H63" s="11"/>
      <c r="I63" s="16"/>
      <c r="J63" s="11"/>
      <c r="K63" s="11" t="s">
        <v>39</v>
      </c>
      <c r="L63" s="11" t="s">
        <v>34</v>
      </c>
      <c r="M63" s="11">
        <f>M57+196</f>
        <v>4702</v>
      </c>
      <c r="N63" s="11"/>
      <c r="O63" s="11" t="s">
        <v>40</v>
      </c>
      <c r="P63" s="11"/>
      <c r="Q63" s="11"/>
    </row>
    <row r="64" ht="16.5" spans="1:17">
      <c r="A64" s="11"/>
      <c r="B64" s="11" t="s">
        <v>41</v>
      </c>
      <c r="C64" s="11" t="s">
        <v>42</v>
      </c>
      <c r="D64" s="11">
        <f>D63+2</f>
        <v>1038</v>
      </c>
      <c r="E64" s="11"/>
      <c r="F64" s="11" t="s">
        <v>43</v>
      </c>
      <c r="G64" s="11"/>
      <c r="H64" s="11"/>
      <c r="I64" s="16"/>
      <c r="J64" s="11"/>
      <c r="K64" s="11" t="s">
        <v>44</v>
      </c>
      <c r="L64" s="11" t="s">
        <v>45</v>
      </c>
      <c r="M64" s="11">
        <f>M63+2</f>
        <v>4704</v>
      </c>
      <c r="N64" s="11"/>
      <c r="O64" s="11" t="s">
        <v>46</v>
      </c>
      <c r="P64" s="11"/>
      <c r="Q64" s="11"/>
    </row>
    <row r="65" ht="16.5" spans="1:17">
      <c r="A65" s="11"/>
      <c r="B65" s="11" t="s">
        <v>149</v>
      </c>
      <c r="C65" s="11"/>
      <c r="D65" s="11">
        <f>D64+26</f>
        <v>1064</v>
      </c>
      <c r="E65" s="11"/>
      <c r="F65" s="11"/>
      <c r="G65" s="11"/>
      <c r="H65" s="11"/>
      <c r="I65" s="16"/>
      <c r="J65" s="11"/>
      <c r="K65" s="11" t="s">
        <v>150</v>
      </c>
      <c r="L65" s="11" t="s">
        <v>151</v>
      </c>
      <c r="M65" s="11">
        <f>M64+2</f>
        <v>4706</v>
      </c>
      <c r="N65" s="11"/>
      <c r="O65" s="11" t="s">
        <v>152</v>
      </c>
      <c r="P65" s="11"/>
      <c r="Q65" s="11"/>
    </row>
    <row r="66" customFormat="1" customHeight="1" spans="1:17">
      <c r="A66" s="11"/>
      <c r="I66" s="17"/>
      <c r="J66" s="19"/>
      <c r="K66" s="11" t="s">
        <v>48</v>
      </c>
      <c r="L66" s="19"/>
      <c r="M66" s="19">
        <f>M65+4*200</f>
        <v>5506</v>
      </c>
      <c r="N66" s="19"/>
      <c r="O66" s="19"/>
      <c r="P66" s="19"/>
      <c r="Q66" s="19"/>
    </row>
    <row r="67" customFormat="1" customHeight="1" spans="1:17">
      <c r="A67" s="6" t="s">
        <v>29</v>
      </c>
      <c r="B67" s="7"/>
      <c r="C67" s="7"/>
      <c r="D67" s="7"/>
      <c r="E67" s="7"/>
      <c r="F67" s="7"/>
      <c r="G67" s="7"/>
      <c r="H67" s="7"/>
      <c r="I67" s="12" t="s">
        <v>111</v>
      </c>
      <c r="J67" s="9" t="s">
        <v>31</v>
      </c>
      <c r="K67" s="15"/>
      <c r="L67" s="15"/>
      <c r="M67" s="15"/>
      <c r="N67" s="15"/>
      <c r="O67" s="15"/>
      <c r="P67" s="15"/>
      <c r="Q67" s="15"/>
    </row>
    <row r="68" customFormat="1" customHeight="1" spans="1:17">
      <c r="A68" s="7"/>
      <c r="B68" s="7"/>
      <c r="C68" s="7"/>
      <c r="D68" s="7"/>
      <c r="E68" s="7"/>
      <c r="F68" s="7"/>
      <c r="G68" s="7"/>
      <c r="H68" s="7"/>
      <c r="I68" s="13"/>
      <c r="J68" s="15"/>
      <c r="K68" s="15"/>
      <c r="L68" s="15"/>
      <c r="M68" s="15"/>
      <c r="N68" s="15"/>
      <c r="O68" s="15"/>
      <c r="P68" s="15"/>
      <c r="Q68" s="15"/>
    </row>
    <row r="69" customFormat="1" customHeight="1" spans="1:17">
      <c r="B69" t="s">
        <v>37</v>
      </c>
      <c r="C69" t="s">
        <v>34</v>
      </c>
      <c r="D69">
        <f>D65+36</f>
        <v>1100</v>
      </c>
      <c r="F69" t="s">
        <v>38</v>
      </c>
      <c r="I69" s="13"/>
      <c r="K69" s="11" t="s">
        <v>39</v>
      </c>
      <c r="L69" s="11" t="s">
        <v>34</v>
      </c>
      <c r="M69" s="11">
        <f>M66+96</f>
        <v>5602</v>
      </c>
      <c r="N69" s="11"/>
      <c r="O69" s="11" t="s">
        <v>40</v>
      </c>
    </row>
    <row r="70" customFormat="1" customHeight="1" spans="1:17">
      <c r="B70" t="s">
        <v>112</v>
      </c>
      <c r="C70" t="s">
        <v>42</v>
      </c>
      <c r="D70">
        <f>D69+2</f>
        <v>1102</v>
      </c>
      <c r="F70" t="s">
        <v>113</v>
      </c>
      <c r="I70" s="13"/>
      <c r="K70" s="11" t="s">
        <v>44</v>
      </c>
      <c r="L70" s="11" t="s">
        <v>45</v>
      </c>
      <c r="M70" s="11">
        <f>M69+2</f>
        <v>5604</v>
      </c>
      <c r="N70" s="11"/>
      <c r="O70" s="11" t="s">
        <v>46</v>
      </c>
    </row>
    <row r="71" customFormat="1" customHeight="1" spans="1:17">
      <c r="B71" t="s">
        <v>114</v>
      </c>
      <c r="C71" t="s">
        <v>42</v>
      </c>
      <c r="D71">
        <f>D70+26</f>
        <v>1128</v>
      </c>
      <c r="F71" t="s">
        <v>115</v>
      </c>
      <c r="I71" s="13"/>
    </row>
    <row r="72" customFormat="1" customHeight="1" spans="1:17">
      <c r="B72" t="s">
        <v>116</v>
      </c>
      <c r="C72" t="s">
        <v>117</v>
      </c>
      <c r="D72">
        <f>D71+26</f>
        <v>1154</v>
      </c>
      <c r="F72" t="s">
        <v>118</v>
      </c>
      <c r="I72" s="13"/>
    </row>
  </sheetData>
  <mergeCells count="27">
    <mergeCell ref="I2:I4"/>
    <mergeCell ref="I5:I9"/>
    <mergeCell ref="I10:I15"/>
    <mergeCell ref="I16:I21"/>
    <mergeCell ref="I22:I27"/>
    <mergeCell ref="I28:I52"/>
    <mergeCell ref="I53:I60"/>
    <mergeCell ref="I61:I66"/>
    <mergeCell ref="I67:I72"/>
    <mergeCell ref="A2:H3"/>
    <mergeCell ref="J2:Q3"/>
    <mergeCell ref="A5:H6"/>
    <mergeCell ref="J5:Q6"/>
    <mergeCell ref="A10:H11"/>
    <mergeCell ref="J10:Q11"/>
    <mergeCell ref="A16:H17"/>
    <mergeCell ref="J16:Q17"/>
    <mergeCell ref="A22:H23"/>
    <mergeCell ref="J22:Q23"/>
    <mergeCell ref="A28:H29"/>
    <mergeCell ref="J28:Q29"/>
    <mergeCell ref="A53:H54"/>
    <mergeCell ref="J53:Q54"/>
    <mergeCell ref="A61:H62"/>
    <mergeCell ref="J61:Q62"/>
    <mergeCell ref="A67:H68"/>
    <mergeCell ref="J67:Q68"/>
  </mergeCells>
  <pageMargins left="0.7875" right="0.7875" top="0.7875" bottom="0.7875" header="0.39375" footer="0.39375"/>
  <pageSetup paperSize="9" fitToWidth="0" pageOrder="overThenDown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"/>
  <sheetViews>
    <sheetView zoomScale="85" zoomScaleNormal="85" topLeftCell="A52" workbookViewId="0">
      <selection activeCell="D77" sqref="D77"/>
    </sheetView>
  </sheetViews>
  <sheetFormatPr defaultColWidth="13.6416666666667" defaultRowHeight="18" customHeight="1"/>
  <cols>
    <col min="1" max="1" width="10.7083333333333" customWidth="1"/>
    <col min="2" max="2" width="24.7083333333333" customWidth="1"/>
    <col min="3" max="3" width="55.7083333333333" customWidth="1"/>
    <col min="4" max="4" width="18.7083333333333" customWidth="1"/>
    <col min="5" max="5" width="6.70833333333333" customWidth="1"/>
    <col min="6" max="6" width="71.7083333333333" customWidth="1"/>
    <col min="7" max="8" width="10.7083333333333" customWidth="1"/>
    <col min="9" max="9" width="58.7083333333333" customWidth="1"/>
    <col min="10" max="10" width="10.7083333333333" customWidth="1"/>
    <col min="11" max="11" width="21.7083333333333" customWidth="1"/>
    <col min="12" max="12" width="31.7083333333333" customWidth="1"/>
    <col min="13" max="13" width="18.7083333333333" customWidth="1"/>
    <col min="14" max="14" width="6.70833333333333" customWidth="1"/>
    <col min="15" max="15" width="62.7083333333333" customWidth="1"/>
    <col min="16" max="17" width="10.7083333333333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4" t="s">
        <v>28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</row>
    <row r="2" ht="16.5" spans="1:17">
      <c r="A2" s="6" t="s">
        <v>29</v>
      </c>
      <c r="B2" s="7"/>
      <c r="C2" s="7"/>
      <c r="D2" s="7"/>
      <c r="E2" s="7"/>
      <c r="F2" s="7"/>
      <c r="G2" s="7"/>
      <c r="H2" s="7"/>
      <c r="I2" s="8" t="s">
        <v>30</v>
      </c>
      <c r="J2" s="9" t="s">
        <v>31</v>
      </c>
      <c r="K2" s="7"/>
      <c r="L2" s="7"/>
      <c r="M2" s="7"/>
      <c r="N2" s="7"/>
      <c r="O2" s="7"/>
      <c r="P2" s="7"/>
      <c r="Q2" s="7"/>
    </row>
    <row r="3" ht="16.5" spans="1:17">
      <c r="A3" s="7"/>
      <c r="B3" s="7"/>
      <c r="C3" s="7"/>
      <c r="D3" s="7"/>
      <c r="E3" s="7"/>
      <c r="F3" s="7"/>
      <c r="G3" s="7"/>
      <c r="H3" s="7"/>
      <c r="I3" s="10"/>
      <c r="J3" s="7"/>
      <c r="K3" s="7"/>
      <c r="L3" s="7"/>
      <c r="M3" s="7"/>
      <c r="N3" s="7"/>
      <c r="O3" s="7"/>
      <c r="P3" s="7"/>
      <c r="Q3" s="7"/>
    </row>
    <row r="4" ht="16.5" spans="1:17">
      <c r="A4" s="11"/>
      <c r="B4" s="11" t="s">
        <v>32</v>
      </c>
      <c r="C4" s="11"/>
      <c r="D4" s="11">
        <v>0</v>
      </c>
      <c r="E4" s="11"/>
      <c r="F4" s="11"/>
      <c r="G4" s="11"/>
      <c r="H4" s="11">
        <v>200</v>
      </c>
      <c r="I4" s="10"/>
      <c r="J4" s="11"/>
      <c r="K4" s="11" t="s">
        <v>33</v>
      </c>
      <c r="L4" s="11" t="s">
        <v>34</v>
      </c>
      <c r="M4" s="11">
        <v>4000</v>
      </c>
      <c r="N4" s="11"/>
      <c r="O4" s="11" t="s">
        <v>35</v>
      </c>
      <c r="P4" s="11"/>
      <c r="Q4" s="11">
        <v>200</v>
      </c>
    </row>
    <row r="5" ht="16.5" spans="1:17">
      <c r="A5" s="6" t="s">
        <v>29</v>
      </c>
      <c r="B5" s="7"/>
      <c r="C5" s="7"/>
      <c r="D5" s="7"/>
      <c r="E5" s="7"/>
      <c r="F5" s="7"/>
      <c r="G5" s="7"/>
      <c r="H5" s="7"/>
      <c r="I5" s="12" t="s">
        <v>36</v>
      </c>
      <c r="J5" s="9" t="s">
        <v>31</v>
      </c>
      <c r="K5" s="7"/>
      <c r="L5" s="7"/>
      <c r="M5" s="7"/>
      <c r="N5" s="7"/>
      <c r="O5" s="7"/>
      <c r="P5" s="7"/>
      <c r="Q5" s="7"/>
    </row>
    <row r="6" ht="16.5" spans="1:17">
      <c r="A6" s="7"/>
      <c r="B6" s="7"/>
      <c r="C6" s="7"/>
      <c r="D6" s="7"/>
      <c r="E6" s="7"/>
      <c r="F6" s="7"/>
      <c r="G6" s="7"/>
      <c r="H6" s="7"/>
      <c r="I6" s="13"/>
      <c r="J6" s="7"/>
      <c r="K6" s="7"/>
      <c r="L6" s="7"/>
      <c r="M6" s="7"/>
      <c r="N6" s="7"/>
      <c r="O6" s="7"/>
      <c r="P6" s="7"/>
      <c r="Q6" s="7"/>
    </row>
    <row r="7" ht="16.5" spans="1:17">
      <c r="A7" s="11"/>
      <c r="B7" s="11" t="s">
        <v>37</v>
      </c>
      <c r="C7" s="11" t="s">
        <v>34</v>
      </c>
      <c r="D7" s="11">
        <v>100</v>
      </c>
      <c r="E7" s="11"/>
      <c r="F7" s="11" t="s">
        <v>38</v>
      </c>
      <c r="G7" s="11"/>
      <c r="H7" s="11"/>
      <c r="I7" s="13"/>
      <c r="J7" s="11"/>
      <c r="K7" s="11" t="s">
        <v>39</v>
      </c>
      <c r="L7" s="11" t="s">
        <v>34</v>
      </c>
      <c r="M7" s="11">
        <f>M4+2</f>
        <v>4002</v>
      </c>
      <c r="N7" s="11">
        <v>0</v>
      </c>
      <c r="O7" s="11" t="s">
        <v>40</v>
      </c>
      <c r="P7" s="11"/>
      <c r="Q7" s="11"/>
    </row>
    <row r="8" ht="16.5" spans="1:17">
      <c r="A8" s="11"/>
      <c r="B8" s="11" t="s">
        <v>41</v>
      </c>
      <c r="C8" s="11" t="s">
        <v>42</v>
      </c>
      <c r="D8" s="11">
        <f>D7+2</f>
        <v>102</v>
      </c>
      <c r="E8" s="11"/>
      <c r="F8" s="11" t="s">
        <v>43</v>
      </c>
      <c r="G8" s="11"/>
      <c r="H8" s="11"/>
      <c r="I8" s="13"/>
      <c r="J8" s="11"/>
      <c r="K8" s="11" t="s">
        <v>44</v>
      </c>
      <c r="L8" s="11" t="s">
        <v>45</v>
      </c>
      <c r="M8" s="11">
        <f>M7+2</f>
        <v>4004</v>
      </c>
      <c r="N8" s="11"/>
      <c r="O8" s="11" t="s">
        <v>46</v>
      </c>
      <c r="P8" s="11"/>
      <c r="Q8" s="11"/>
    </row>
    <row r="9" ht="16.5" spans="1:17">
      <c r="A9" s="11"/>
      <c r="B9" s="11" t="s">
        <v>47</v>
      </c>
      <c r="C9" s="11"/>
      <c r="D9" s="11">
        <f>D8+26</f>
        <v>128</v>
      </c>
      <c r="E9" s="11"/>
      <c r="F9" s="11"/>
      <c r="G9" s="11"/>
      <c r="H9" s="11"/>
      <c r="I9" s="13"/>
      <c r="J9" s="11"/>
      <c r="K9" s="11" t="s">
        <v>48</v>
      </c>
      <c r="L9" s="11"/>
      <c r="M9" s="11">
        <f>M8+2</f>
        <v>4006</v>
      </c>
      <c r="N9" s="11"/>
      <c r="O9" s="11"/>
      <c r="P9" s="11"/>
      <c r="Q9" s="11"/>
    </row>
    <row r="10" ht="16.5" spans="1:17">
      <c r="A10" s="6" t="s">
        <v>29</v>
      </c>
      <c r="B10" s="7"/>
      <c r="C10" s="7"/>
      <c r="D10" s="7"/>
      <c r="E10" s="7"/>
      <c r="F10" s="7"/>
      <c r="G10" s="7"/>
      <c r="H10" s="7"/>
      <c r="I10" s="12" t="s">
        <v>49</v>
      </c>
      <c r="J10" s="9" t="s">
        <v>31</v>
      </c>
      <c r="K10" s="7"/>
      <c r="L10" s="7"/>
      <c r="M10" s="7"/>
      <c r="N10" s="7"/>
      <c r="O10" s="7"/>
      <c r="P10" s="7"/>
      <c r="Q10" s="7"/>
    </row>
    <row r="11" ht="16.5" spans="1:17">
      <c r="A11" s="7"/>
      <c r="B11" s="7"/>
      <c r="C11" s="7"/>
      <c r="D11" s="7"/>
      <c r="E11" s="7"/>
      <c r="F11" s="7"/>
      <c r="G11" s="7"/>
      <c r="H11" s="7"/>
      <c r="I11" s="13"/>
      <c r="J11" s="7"/>
      <c r="K11" s="7"/>
      <c r="L11" s="7"/>
      <c r="M11" s="7"/>
      <c r="N11" s="7"/>
      <c r="O11" s="7"/>
      <c r="P11" s="7"/>
      <c r="Q11" s="7"/>
    </row>
    <row r="12" ht="16.5" spans="1:17">
      <c r="A12" s="11"/>
      <c r="B12" s="11" t="s">
        <v>37</v>
      </c>
      <c r="C12" s="11" t="s">
        <v>34</v>
      </c>
      <c r="D12" s="11">
        <f>D9+72</f>
        <v>200</v>
      </c>
      <c r="E12" s="11"/>
      <c r="F12" s="11" t="s">
        <v>153</v>
      </c>
      <c r="G12" s="11"/>
      <c r="H12" s="11"/>
      <c r="I12" s="13"/>
      <c r="J12" s="11"/>
      <c r="K12" s="11" t="s">
        <v>39</v>
      </c>
      <c r="L12" s="11" t="s">
        <v>34</v>
      </c>
      <c r="M12" s="11">
        <f>M9+96</f>
        <v>4102</v>
      </c>
      <c r="N12" s="11"/>
      <c r="O12" s="11" t="s">
        <v>40</v>
      </c>
      <c r="P12" s="11"/>
      <c r="Q12" s="11"/>
    </row>
    <row r="13" ht="16.5" spans="1:17">
      <c r="A13" s="11"/>
      <c r="B13" s="11" t="s">
        <v>41</v>
      </c>
      <c r="C13" s="11" t="s">
        <v>42</v>
      </c>
      <c r="D13" s="11">
        <f>D12+2</f>
        <v>202</v>
      </c>
      <c r="E13" s="11"/>
      <c r="F13" s="11" t="s">
        <v>43</v>
      </c>
      <c r="G13" s="11"/>
      <c r="H13" s="11"/>
      <c r="I13" s="13"/>
      <c r="J13" s="11"/>
      <c r="K13" s="11" t="s">
        <v>44</v>
      </c>
      <c r="L13" s="11" t="s">
        <v>45</v>
      </c>
      <c r="M13" s="11">
        <f>M12+2</f>
        <v>4104</v>
      </c>
      <c r="N13" s="11"/>
      <c r="O13" s="11" t="s">
        <v>46</v>
      </c>
      <c r="P13" s="11"/>
      <c r="Q13" s="11"/>
    </row>
    <row r="14" ht="16.5" spans="1:17">
      <c r="A14" s="11"/>
      <c r="B14" s="11" t="s">
        <v>50</v>
      </c>
      <c r="C14" s="11" t="s">
        <v>42</v>
      </c>
      <c r="D14" s="11">
        <f>D13+26</f>
        <v>228</v>
      </c>
      <c r="E14" s="11"/>
      <c r="F14" s="11" t="s">
        <v>51</v>
      </c>
      <c r="G14" s="11"/>
      <c r="H14" s="11"/>
      <c r="I14" s="13"/>
      <c r="J14" s="11"/>
      <c r="K14" s="11" t="s">
        <v>48</v>
      </c>
      <c r="L14" s="11"/>
      <c r="M14" s="11">
        <f>M13+2</f>
        <v>4106</v>
      </c>
      <c r="N14" s="11"/>
      <c r="O14" s="11"/>
      <c r="P14" s="11"/>
      <c r="Q14" s="11"/>
    </row>
    <row r="15" ht="16.5" spans="1:17">
      <c r="A15" s="11"/>
      <c r="B15" s="11" t="s">
        <v>52</v>
      </c>
      <c r="C15" s="11"/>
      <c r="D15" s="11">
        <f>D14+26</f>
        <v>254</v>
      </c>
      <c r="E15" s="11"/>
      <c r="F15" s="11"/>
      <c r="G15" s="11"/>
      <c r="H15" s="11"/>
      <c r="I15" s="13"/>
      <c r="J15" s="11"/>
      <c r="K15" s="11"/>
      <c r="L15" s="11"/>
      <c r="M15" s="11"/>
      <c r="N15" s="11"/>
      <c r="O15" s="11"/>
      <c r="P15" s="11"/>
      <c r="Q15" s="11"/>
    </row>
    <row r="16" ht="16.5" spans="1:17">
      <c r="A16" s="6" t="s">
        <v>29</v>
      </c>
      <c r="B16" s="7"/>
      <c r="C16" s="7"/>
      <c r="D16" s="7"/>
      <c r="E16" s="7"/>
      <c r="F16" s="7"/>
      <c r="G16" s="7"/>
      <c r="H16" s="7"/>
      <c r="I16" s="12" t="s">
        <v>53</v>
      </c>
      <c r="J16" s="9" t="s">
        <v>31</v>
      </c>
      <c r="K16" s="7"/>
      <c r="L16" s="7"/>
      <c r="M16" s="7"/>
      <c r="N16" s="7"/>
      <c r="O16" s="7"/>
      <c r="P16" s="7"/>
      <c r="Q16" s="7"/>
    </row>
    <row r="17" ht="16.5" spans="1:17">
      <c r="A17" s="7"/>
      <c r="B17" s="7"/>
      <c r="C17" s="7"/>
      <c r="D17" s="7"/>
      <c r="E17" s="7"/>
      <c r="F17" s="7"/>
      <c r="G17" s="7"/>
      <c r="H17" s="7"/>
      <c r="I17" s="13"/>
      <c r="J17" s="7"/>
      <c r="K17" s="7"/>
      <c r="L17" s="7"/>
      <c r="M17" s="7"/>
      <c r="N17" s="7"/>
      <c r="O17" s="7"/>
      <c r="P17" s="7"/>
      <c r="Q17" s="7"/>
    </row>
    <row r="18" ht="16.5" spans="1:17">
      <c r="A18" s="11"/>
      <c r="B18" s="11" t="s">
        <v>37</v>
      </c>
      <c r="C18" s="11" t="s">
        <v>34</v>
      </c>
      <c r="D18" s="11">
        <f>D15+46</f>
        <v>300</v>
      </c>
      <c r="E18" s="11"/>
      <c r="F18" s="11" t="s">
        <v>38</v>
      </c>
      <c r="G18" s="11"/>
      <c r="H18" s="11"/>
      <c r="I18" s="13"/>
      <c r="J18" s="11"/>
      <c r="K18" s="11" t="s">
        <v>39</v>
      </c>
      <c r="L18" s="11" t="s">
        <v>34</v>
      </c>
      <c r="M18" s="11">
        <f>M14+96</f>
        <v>4202</v>
      </c>
      <c r="N18" s="11"/>
      <c r="O18" s="11" t="s">
        <v>40</v>
      </c>
      <c r="P18" s="11"/>
      <c r="Q18" s="11"/>
    </row>
    <row r="19" ht="16.5" spans="1:17">
      <c r="A19" s="11"/>
      <c r="B19" s="11" t="s">
        <v>41</v>
      </c>
      <c r="C19" s="11" t="s">
        <v>42</v>
      </c>
      <c r="D19" s="11">
        <f>D18+2</f>
        <v>302</v>
      </c>
      <c r="E19" s="11"/>
      <c r="F19" s="11" t="s">
        <v>54</v>
      </c>
      <c r="G19" s="11"/>
      <c r="H19" s="11"/>
      <c r="I19" s="13"/>
      <c r="J19" s="11"/>
      <c r="K19" s="11" t="s">
        <v>44</v>
      </c>
      <c r="L19" s="11" t="s">
        <v>45</v>
      </c>
      <c r="M19" s="11">
        <f>M18+2</f>
        <v>4204</v>
      </c>
      <c r="N19" s="11"/>
      <c r="O19" s="11" t="s">
        <v>46</v>
      </c>
      <c r="P19" s="11"/>
      <c r="Q19" s="11"/>
    </row>
    <row r="20" ht="16.5" spans="1:17">
      <c r="A20" s="11"/>
      <c r="B20" s="11" t="s">
        <v>55</v>
      </c>
      <c r="C20" s="11" t="s">
        <v>42</v>
      </c>
      <c r="D20" s="11">
        <f>D19+26</f>
        <v>328</v>
      </c>
      <c r="E20" s="11"/>
      <c r="F20" s="11" t="s">
        <v>56</v>
      </c>
      <c r="G20" s="11"/>
      <c r="H20" s="11"/>
      <c r="I20" s="13"/>
      <c r="J20" s="11"/>
      <c r="K20" s="11" t="s">
        <v>48</v>
      </c>
      <c r="L20" s="11"/>
      <c r="M20" s="11">
        <f>M19+2</f>
        <v>4206</v>
      </c>
      <c r="N20" s="11"/>
      <c r="O20" s="11"/>
      <c r="P20" s="11"/>
      <c r="Q20" s="11"/>
    </row>
    <row r="21" ht="16.5" spans="1:17">
      <c r="A21" s="11"/>
      <c r="B21" s="11" t="s">
        <v>52</v>
      </c>
      <c r="C21" s="11"/>
      <c r="D21" s="11">
        <f>D20+26</f>
        <v>354</v>
      </c>
      <c r="E21" s="11"/>
      <c r="F21" s="11"/>
      <c r="G21" s="11"/>
      <c r="H21" s="11"/>
      <c r="I21" s="13"/>
      <c r="J21" s="11"/>
      <c r="K21" s="11"/>
      <c r="L21" s="11"/>
      <c r="M21" s="11"/>
      <c r="N21" s="11"/>
      <c r="O21" s="11"/>
      <c r="P21" s="11"/>
      <c r="Q21" s="11"/>
    </row>
    <row r="22" ht="16.5" spans="1:17">
      <c r="A22" s="6" t="s">
        <v>29</v>
      </c>
      <c r="B22" s="7"/>
      <c r="C22" s="7"/>
      <c r="D22" s="7"/>
      <c r="E22" s="7"/>
      <c r="F22" s="7"/>
      <c r="G22" s="7"/>
      <c r="H22" s="7"/>
      <c r="I22" s="12" t="s">
        <v>57</v>
      </c>
      <c r="J22" s="9" t="s">
        <v>31</v>
      </c>
      <c r="K22" s="7"/>
      <c r="L22" s="7"/>
      <c r="M22" s="7"/>
      <c r="N22" s="7"/>
      <c r="O22" s="7"/>
      <c r="P22" s="7"/>
      <c r="Q22" s="7"/>
    </row>
    <row r="23" ht="16.5" spans="1:17">
      <c r="A23" s="7"/>
      <c r="B23" s="7"/>
      <c r="C23" s="7"/>
      <c r="D23" s="7"/>
      <c r="E23" s="7"/>
      <c r="F23" s="7"/>
      <c r="G23" s="7"/>
      <c r="H23" s="7"/>
      <c r="I23" s="13"/>
      <c r="J23" s="7"/>
      <c r="K23" s="7"/>
      <c r="L23" s="7"/>
      <c r="M23" s="7"/>
      <c r="N23" s="7"/>
      <c r="O23" s="7"/>
      <c r="P23" s="7"/>
      <c r="Q23" s="7"/>
    </row>
    <row r="24" ht="16.5" spans="1:17">
      <c r="A24" s="11"/>
      <c r="B24" s="11" t="s">
        <v>37</v>
      </c>
      <c r="C24" s="11" t="s">
        <v>34</v>
      </c>
      <c r="D24" s="11">
        <f>D21+46</f>
        <v>400</v>
      </c>
      <c r="E24" s="11"/>
      <c r="F24" s="11" t="s">
        <v>38</v>
      </c>
      <c r="G24" s="11"/>
      <c r="H24" s="11"/>
      <c r="I24" s="13"/>
      <c r="J24" s="11"/>
      <c r="K24" s="11" t="s">
        <v>39</v>
      </c>
      <c r="L24" s="11" t="s">
        <v>34</v>
      </c>
      <c r="M24" s="11">
        <f>M20+96</f>
        <v>4302</v>
      </c>
      <c r="N24" s="11"/>
      <c r="O24" s="11" t="s">
        <v>40</v>
      </c>
      <c r="P24" s="11"/>
      <c r="Q24" s="11"/>
    </row>
    <row r="25" ht="16.5" spans="1:17">
      <c r="A25" s="11"/>
      <c r="B25" s="11" t="s">
        <v>58</v>
      </c>
      <c r="C25" s="11"/>
      <c r="D25" s="11">
        <f>D24+2</f>
        <v>402</v>
      </c>
      <c r="E25" s="11"/>
      <c r="F25" s="11"/>
      <c r="G25" s="11"/>
      <c r="H25" s="11"/>
      <c r="I25" s="13"/>
      <c r="J25" s="11"/>
      <c r="K25" s="11" t="s">
        <v>44</v>
      </c>
      <c r="L25" s="11" t="s">
        <v>45</v>
      </c>
      <c r="M25" s="11">
        <f>M24+2</f>
        <v>4304</v>
      </c>
      <c r="N25" s="11"/>
      <c r="O25" s="11" t="s">
        <v>46</v>
      </c>
      <c r="P25" s="11"/>
      <c r="Q25" s="11"/>
    </row>
    <row r="26" ht="16.5" spans="1:17">
      <c r="A26" s="11"/>
      <c r="B26" s="11"/>
      <c r="C26" s="11"/>
      <c r="D26" s="11"/>
      <c r="E26" s="11"/>
      <c r="F26" s="11"/>
      <c r="G26" s="11"/>
      <c r="H26" s="11"/>
      <c r="I26" s="13"/>
      <c r="J26" s="11"/>
      <c r="K26" s="11" t="s">
        <v>50</v>
      </c>
      <c r="L26" s="11" t="s">
        <v>42</v>
      </c>
      <c r="M26" s="11">
        <f>M25+2</f>
        <v>4306</v>
      </c>
      <c r="N26" s="11"/>
      <c r="O26" s="11" t="s">
        <v>60</v>
      </c>
      <c r="P26" s="11"/>
      <c r="Q26" s="11"/>
    </row>
    <row r="27" ht="16.5" spans="1:17">
      <c r="A27" s="11"/>
      <c r="B27" s="11"/>
      <c r="C27" s="11"/>
      <c r="D27" s="11"/>
      <c r="E27" s="11"/>
      <c r="F27" s="11"/>
      <c r="G27" s="11"/>
      <c r="H27" s="11"/>
      <c r="I27" s="13"/>
      <c r="J27" s="11"/>
      <c r="K27" s="11" t="s">
        <v>119</v>
      </c>
      <c r="L27" s="11"/>
      <c r="M27" s="11">
        <f>M26+26</f>
        <v>4332</v>
      </c>
      <c r="N27" s="11"/>
      <c r="O27" s="11"/>
      <c r="P27" s="11"/>
      <c r="Q27" s="11"/>
    </row>
    <row r="28" ht="16.5" spans="1:17">
      <c r="A28" s="6" t="s">
        <v>29</v>
      </c>
      <c r="B28" s="7"/>
      <c r="C28" s="7"/>
      <c r="D28" s="7"/>
      <c r="E28" s="7"/>
      <c r="F28" s="7"/>
      <c r="G28" s="7"/>
      <c r="H28" s="7"/>
      <c r="I28" s="14" t="s">
        <v>63</v>
      </c>
      <c r="J28" s="9" t="s">
        <v>31</v>
      </c>
      <c r="K28" s="7"/>
      <c r="L28" s="7"/>
      <c r="M28" s="7"/>
      <c r="N28" s="7"/>
      <c r="O28" s="7"/>
      <c r="P28" s="7"/>
      <c r="Q28" s="7"/>
    </row>
    <row r="29" ht="16.5" spans="1:17">
      <c r="A29" s="7"/>
      <c r="B29" s="7"/>
      <c r="C29" s="7"/>
      <c r="D29" s="7"/>
      <c r="E29" s="7"/>
      <c r="F29" s="7"/>
      <c r="G29" s="7"/>
      <c r="H29" s="7"/>
      <c r="I29" s="13"/>
      <c r="J29" s="7"/>
      <c r="K29" s="7"/>
      <c r="L29" s="7"/>
      <c r="M29" s="7"/>
      <c r="N29" s="7"/>
      <c r="O29" s="7"/>
      <c r="P29" s="7"/>
      <c r="Q29" s="7"/>
    </row>
    <row r="30" ht="16.5" spans="1:17">
      <c r="A30" s="11"/>
      <c r="B30" s="11" t="s">
        <v>37</v>
      </c>
      <c r="C30" s="11" t="s">
        <v>34</v>
      </c>
      <c r="D30" s="11">
        <f>D25+98</f>
        <v>500</v>
      </c>
      <c r="E30" s="11"/>
      <c r="F30" s="11" t="s">
        <v>38</v>
      </c>
      <c r="G30" s="11"/>
      <c r="H30" s="11"/>
      <c r="I30" s="13"/>
      <c r="J30" s="11"/>
      <c r="K30" s="11" t="s">
        <v>39</v>
      </c>
      <c r="L30" s="11" t="s">
        <v>34</v>
      </c>
      <c r="M30" s="11">
        <f>M27+70</f>
        <v>4402</v>
      </c>
      <c r="N30" s="11"/>
      <c r="O30" s="11" t="s">
        <v>40</v>
      </c>
      <c r="P30" s="11"/>
      <c r="Q30" s="11"/>
    </row>
    <row r="31" ht="16.5" spans="1:17">
      <c r="A31" s="11"/>
      <c r="B31" s="11" t="s">
        <v>120</v>
      </c>
      <c r="C31" s="11" t="s">
        <v>65</v>
      </c>
      <c r="D31" s="11">
        <f>D30+2</f>
        <v>502</v>
      </c>
      <c r="E31" s="11"/>
      <c r="F31" s="11" t="s">
        <v>121</v>
      </c>
      <c r="G31" s="11"/>
      <c r="H31" s="11"/>
      <c r="I31" s="13"/>
      <c r="J31" s="11"/>
      <c r="K31" s="11" t="s">
        <v>44</v>
      </c>
      <c r="L31" s="11" t="s">
        <v>45</v>
      </c>
      <c r="M31" s="11">
        <f>M30+2</f>
        <v>4404</v>
      </c>
      <c r="N31" s="11"/>
      <c r="O31" s="11" t="s">
        <v>46</v>
      </c>
      <c r="P31" s="11"/>
      <c r="Q31" s="11"/>
    </row>
    <row r="32" ht="16.5" spans="1:17">
      <c r="A32" s="11"/>
      <c r="B32" s="11" t="s">
        <v>64</v>
      </c>
      <c r="C32" s="11" t="s">
        <v>65</v>
      </c>
      <c r="D32" s="11">
        <f t="shared" ref="D32:D52" si="0">D31+4</f>
        <v>506</v>
      </c>
      <c r="E32" s="11"/>
      <c r="F32" s="11" t="s">
        <v>66</v>
      </c>
      <c r="G32" s="11"/>
      <c r="H32" s="11"/>
      <c r="I32" s="13"/>
      <c r="J32" s="11"/>
      <c r="K32" s="11" t="s">
        <v>48</v>
      </c>
      <c r="L32" s="11"/>
      <c r="M32" s="11">
        <f>M31+2</f>
        <v>4406</v>
      </c>
      <c r="N32" s="11"/>
      <c r="O32" s="11"/>
      <c r="P32" s="11"/>
      <c r="Q32" s="11"/>
    </row>
    <row r="33" ht="16.5" spans="1:17">
      <c r="A33" s="11"/>
      <c r="B33" s="11" t="s">
        <v>67</v>
      </c>
      <c r="C33" s="11" t="s">
        <v>65</v>
      </c>
      <c r="D33" s="11">
        <f t="shared" si="0"/>
        <v>510</v>
      </c>
      <c r="E33" s="11"/>
      <c r="F33" s="11" t="s">
        <v>68</v>
      </c>
      <c r="G33" s="11"/>
      <c r="H33" s="11"/>
      <c r="I33" s="13"/>
      <c r="J33" s="11"/>
      <c r="K33" s="11"/>
      <c r="L33" s="11"/>
      <c r="M33" s="11"/>
      <c r="N33" s="11"/>
      <c r="O33" s="11"/>
      <c r="P33" s="11"/>
      <c r="Q33" s="11"/>
    </row>
    <row r="34" ht="16.5" spans="1:17">
      <c r="A34" s="11"/>
      <c r="B34" s="11" t="s">
        <v>69</v>
      </c>
      <c r="C34" s="11" t="s">
        <v>65</v>
      </c>
      <c r="D34" s="11">
        <f t="shared" si="0"/>
        <v>514</v>
      </c>
      <c r="E34" s="11"/>
      <c r="F34" s="11" t="s">
        <v>70</v>
      </c>
      <c r="G34" s="11"/>
      <c r="H34" s="11"/>
      <c r="I34" s="13"/>
      <c r="J34" s="11"/>
      <c r="K34" s="11"/>
      <c r="L34" s="11"/>
      <c r="M34" s="11"/>
      <c r="N34" s="11"/>
      <c r="O34" s="11"/>
      <c r="P34" s="11"/>
      <c r="Q34" s="11"/>
    </row>
    <row r="35" ht="16.5" spans="1:17">
      <c r="A35" s="11"/>
      <c r="B35" s="11" t="s">
        <v>71</v>
      </c>
      <c r="C35" s="11" t="s">
        <v>65</v>
      </c>
      <c r="D35" s="11">
        <f t="shared" si="0"/>
        <v>518</v>
      </c>
      <c r="E35" s="11"/>
      <c r="F35" s="11" t="s">
        <v>72</v>
      </c>
      <c r="G35" s="11"/>
      <c r="H35" s="11"/>
      <c r="I35" s="13"/>
      <c r="J35" s="11"/>
      <c r="K35" s="11"/>
      <c r="L35" s="11"/>
      <c r="M35" s="11"/>
      <c r="N35" s="11"/>
      <c r="O35" s="11"/>
      <c r="P35" s="11"/>
      <c r="Q35" s="11"/>
    </row>
    <row r="36" ht="16.5" spans="1:17">
      <c r="A36" s="11"/>
      <c r="B36" s="11" t="s">
        <v>73</v>
      </c>
      <c r="C36" s="11" t="s">
        <v>65</v>
      </c>
      <c r="D36" s="11">
        <f t="shared" si="0"/>
        <v>522</v>
      </c>
      <c r="E36" s="11"/>
      <c r="F36" s="11" t="s">
        <v>74</v>
      </c>
      <c r="G36" s="11"/>
      <c r="H36" s="11"/>
      <c r="I36" s="13"/>
      <c r="J36" s="11"/>
      <c r="K36" s="11"/>
      <c r="L36" s="11"/>
      <c r="M36" s="11"/>
      <c r="N36" s="11"/>
      <c r="O36" s="11"/>
      <c r="P36" s="11"/>
      <c r="Q36" s="11"/>
    </row>
    <row r="37" ht="16.5" spans="1:17">
      <c r="A37" s="11"/>
      <c r="B37" s="11" t="s">
        <v>75</v>
      </c>
      <c r="C37" s="11" t="s">
        <v>65</v>
      </c>
      <c r="D37" s="11">
        <f t="shared" si="0"/>
        <v>526</v>
      </c>
      <c r="E37" s="11"/>
      <c r="F37" s="11" t="s">
        <v>76</v>
      </c>
      <c r="G37" s="11"/>
      <c r="H37" s="11"/>
      <c r="I37" s="13"/>
      <c r="J37" s="11"/>
      <c r="K37" s="11"/>
      <c r="L37" s="11"/>
      <c r="M37" s="11"/>
      <c r="N37" s="11"/>
      <c r="O37" s="11"/>
      <c r="P37" s="11"/>
      <c r="Q37" s="11"/>
    </row>
    <row r="38" ht="16.5" spans="1:17">
      <c r="A38" s="11"/>
      <c r="B38" s="11" t="s">
        <v>77</v>
      </c>
      <c r="C38" s="11" t="s">
        <v>65</v>
      </c>
      <c r="D38" s="11">
        <f t="shared" si="0"/>
        <v>530</v>
      </c>
      <c r="E38" s="11"/>
      <c r="F38" s="11" t="s">
        <v>78</v>
      </c>
      <c r="G38" s="11"/>
      <c r="H38" s="11"/>
      <c r="I38" s="13"/>
      <c r="J38" s="11"/>
      <c r="K38" s="11"/>
      <c r="L38" s="11"/>
      <c r="M38" s="11"/>
      <c r="N38" s="11"/>
      <c r="O38" s="11"/>
      <c r="P38" s="11"/>
      <c r="Q38" s="11"/>
    </row>
    <row r="39" ht="16.5" spans="1:17">
      <c r="A39" s="11"/>
      <c r="B39" s="11" t="s">
        <v>79</v>
      </c>
      <c r="C39" s="11" t="s">
        <v>65</v>
      </c>
      <c r="D39" s="11">
        <f t="shared" si="0"/>
        <v>534</v>
      </c>
      <c r="E39" s="11"/>
      <c r="F39" s="11" t="s">
        <v>80</v>
      </c>
      <c r="G39" s="11"/>
      <c r="H39" s="11"/>
      <c r="I39" s="13"/>
      <c r="J39" s="11"/>
      <c r="K39" s="11"/>
      <c r="L39" s="11"/>
      <c r="M39" s="11"/>
      <c r="N39" s="11"/>
      <c r="O39" s="11"/>
      <c r="P39" s="11"/>
      <c r="Q39" s="11"/>
    </row>
    <row r="40" ht="16.5" spans="1:17">
      <c r="A40" s="11"/>
      <c r="B40" s="11" t="s">
        <v>81</v>
      </c>
      <c r="C40" s="11" t="s">
        <v>65</v>
      </c>
      <c r="D40" s="11">
        <f t="shared" si="0"/>
        <v>538</v>
      </c>
      <c r="E40" s="11"/>
      <c r="F40" s="11" t="s">
        <v>82</v>
      </c>
      <c r="G40" s="11"/>
      <c r="H40" s="11"/>
      <c r="I40" s="13"/>
      <c r="J40" s="11"/>
      <c r="K40" s="11"/>
      <c r="L40" s="11"/>
      <c r="M40" s="11"/>
      <c r="N40" s="11"/>
      <c r="O40" s="11"/>
      <c r="P40" s="11"/>
      <c r="Q40" s="11"/>
    </row>
    <row r="41" ht="16.5" spans="1:17">
      <c r="A41" s="11"/>
      <c r="B41" s="11" t="s">
        <v>83</v>
      </c>
      <c r="C41" s="11" t="s">
        <v>65</v>
      </c>
      <c r="D41" s="11">
        <f t="shared" si="0"/>
        <v>542</v>
      </c>
      <c r="E41" s="11"/>
      <c r="F41" s="11" t="s">
        <v>84</v>
      </c>
      <c r="G41" s="11"/>
      <c r="H41" s="11"/>
      <c r="I41" s="13"/>
      <c r="J41" s="11"/>
      <c r="K41" s="11"/>
      <c r="L41" s="11"/>
      <c r="M41" s="11"/>
      <c r="N41" s="11"/>
      <c r="O41" s="11"/>
      <c r="P41" s="11"/>
      <c r="Q41" s="11"/>
    </row>
    <row r="42" ht="16.5" spans="1:17">
      <c r="A42" s="11"/>
      <c r="B42" s="11" t="s">
        <v>122</v>
      </c>
      <c r="C42" s="11" t="s">
        <v>65</v>
      </c>
      <c r="D42" s="11">
        <f t="shared" si="0"/>
        <v>546</v>
      </c>
      <c r="E42" s="11"/>
      <c r="F42" s="11" t="s">
        <v>123</v>
      </c>
      <c r="G42" s="11"/>
      <c r="H42" s="11"/>
      <c r="I42" s="13"/>
      <c r="J42" s="11"/>
      <c r="K42" s="11"/>
      <c r="L42" s="11"/>
      <c r="M42" s="11"/>
      <c r="N42" s="11"/>
      <c r="O42" s="11"/>
      <c r="P42" s="11"/>
      <c r="Q42" s="11"/>
    </row>
    <row r="43" ht="16.5" spans="1:17">
      <c r="A43" s="11"/>
      <c r="B43" s="11" t="s">
        <v>124</v>
      </c>
      <c r="C43" s="11" t="s">
        <v>65</v>
      </c>
      <c r="D43" s="11">
        <f t="shared" si="0"/>
        <v>550</v>
      </c>
      <c r="E43" s="11"/>
      <c r="F43" s="11" t="s">
        <v>125</v>
      </c>
      <c r="G43" s="11"/>
      <c r="H43" s="11"/>
      <c r="I43" s="13"/>
      <c r="J43" s="11"/>
      <c r="K43" s="11"/>
      <c r="L43" s="11"/>
      <c r="M43" s="11"/>
      <c r="N43" s="11"/>
      <c r="O43" s="11"/>
      <c r="P43" s="11"/>
      <c r="Q43" s="11"/>
    </row>
    <row r="44" ht="16.5" spans="1:17">
      <c r="A44" s="11"/>
      <c r="B44" s="11" t="s">
        <v>126</v>
      </c>
      <c r="C44" s="11" t="s">
        <v>65</v>
      </c>
      <c r="D44" s="11">
        <f t="shared" si="0"/>
        <v>554</v>
      </c>
      <c r="E44" s="11"/>
      <c r="F44" s="11" t="s">
        <v>127</v>
      </c>
      <c r="G44" s="11"/>
      <c r="H44" s="11"/>
      <c r="I44" s="13"/>
      <c r="J44" s="11"/>
      <c r="K44" s="11"/>
      <c r="L44" s="11"/>
      <c r="M44" s="11"/>
      <c r="N44" s="11"/>
      <c r="O44" s="11"/>
      <c r="P44" s="11"/>
      <c r="Q44" s="11"/>
    </row>
    <row r="45" ht="16.5" spans="1:17">
      <c r="A45" s="11"/>
      <c r="B45" s="11" t="s">
        <v>128</v>
      </c>
      <c r="C45" s="11" t="s">
        <v>65</v>
      </c>
      <c r="D45" s="11">
        <f t="shared" si="0"/>
        <v>558</v>
      </c>
      <c r="E45" s="11"/>
      <c r="F45" s="11" t="s">
        <v>129</v>
      </c>
      <c r="G45" s="11"/>
      <c r="H45" s="11"/>
      <c r="I45" s="13"/>
      <c r="J45" s="11"/>
      <c r="K45" s="11"/>
      <c r="L45" s="11"/>
      <c r="M45" s="11"/>
      <c r="N45" s="11"/>
      <c r="O45" s="11"/>
      <c r="P45" s="11"/>
      <c r="Q45" s="11"/>
    </row>
    <row r="46" ht="16.5" spans="1:17">
      <c r="A46" s="11"/>
      <c r="B46" s="11" t="s">
        <v>130</v>
      </c>
      <c r="C46" s="11" t="s">
        <v>65</v>
      </c>
      <c r="D46" s="11">
        <f t="shared" si="0"/>
        <v>562</v>
      </c>
      <c r="E46" s="11"/>
      <c r="F46" s="11" t="s">
        <v>131</v>
      </c>
      <c r="G46" s="11"/>
      <c r="H46" s="11"/>
      <c r="I46" s="13"/>
      <c r="J46" s="11"/>
      <c r="K46" s="11"/>
      <c r="L46" s="11"/>
      <c r="M46" s="11"/>
      <c r="N46" s="11"/>
      <c r="O46" s="11"/>
      <c r="P46" s="11"/>
      <c r="Q46" s="11"/>
    </row>
    <row r="47" ht="16.5" spans="1:17">
      <c r="A47" s="11"/>
      <c r="B47" s="11" t="s">
        <v>132</v>
      </c>
      <c r="C47" s="11" t="s">
        <v>65</v>
      </c>
      <c r="D47" s="11">
        <f t="shared" si="0"/>
        <v>566</v>
      </c>
      <c r="E47" s="11"/>
      <c r="F47" s="11" t="s">
        <v>133</v>
      </c>
      <c r="G47" s="11"/>
      <c r="H47" s="11"/>
      <c r="I47" s="13"/>
      <c r="J47" s="11"/>
      <c r="K47" s="11"/>
      <c r="L47" s="11"/>
      <c r="M47" s="11"/>
      <c r="N47" s="11"/>
      <c r="O47" s="11"/>
      <c r="P47" s="11"/>
      <c r="Q47" s="11"/>
    </row>
    <row r="48" ht="16.5" spans="1:17">
      <c r="A48" s="11"/>
      <c r="B48" s="11" t="s">
        <v>134</v>
      </c>
      <c r="C48" s="11" t="s">
        <v>65</v>
      </c>
      <c r="D48" s="11">
        <f t="shared" si="0"/>
        <v>570</v>
      </c>
      <c r="E48" s="11"/>
      <c r="F48" s="11" t="s">
        <v>135</v>
      </c>
      <c r="G48" s="11"/>
      <c r="H48" s="11"/>
      <c r="I48" s="13"/>
      <c r="J48" s="11"/>
      <c r="K48" s="11"/>
      <c r="L48" s="11"/>
      <c r="M48" s="11"/>
      <c r="N48" s="11"/>
      <c r="O48" s="11"/>
      <c r="P48" s="11"/>
      <c r="Q48" s="11"/>
    </row>
    <row r="49" ht="16.5" spans="1:17">
      <c r="A49" s="11"/>
      <c r="B49" s="11" t="s">
        <v>136</v>
      </c>
      <c r="C49" s="11" t="s">
        <v>65</v>
      </c>
      <c r="D49" s="11">
        <f t="shared" si="0"/>
        <v>574</v>
      </c>
      <c r="E49" s="11"/>
      <c r="F49" s="11" t="s">
        <v>137</v>
      </c>
      <c r="G49" s="11"/>
      <c r="H49" s="11"/>
      <c r="I49" s="13"/>
      <c r="J49" s="11"/>
      <c r="K49" s="11"/>
      <c r="L49" s="11"/>
      <c r="M49" s="11"/>
      <c r="N49" s="11"/>
      <c r="O49" s="11"/>
      <c r="P49" s="11"/>
      <c r="Q49" s="11"/>
    </row>
    <row r="50" ht="16.5" spans="1:17">
      <c r="A50" s="11"/>
      <c r="B50" s="11" t="s">
        <v>138</v>
      </c>
      <c r="C50" s="11" t="s">
        <v>65</v>
      </c>
      <c r="D50" s="11">
        <f t="shared" si="0"/>
        <v>578</v>
      </c>
      <c r="E50" s="11"/>
      <c r="F50" s="11" t="s">
        <v>139</v>
      </c>
      <c r="G50" s="11"/>
      <c r="H50" s="11"/>
      <c r="I50" s="13"/>
      <c r="J50" s="11"/>
      <c r="K50" s="11"/>
      <c r="L50" s="11"/>
      <c r="M50" s="11"/>
      <c r="N50" s="11"/>
      <c r="O50" s="11"/>
      <c r="P50" s="11"/>
      <c r="Q50" s="11"/>
    </row>
    <row r="51" ht="16.5" spans="1:17">
      <c r="A51" s="11"/>
      <c r="B51" s="11" t="s">
        <v>140</v>
      </c>
      <c r="C51" s="11" t="s">
        <v>65</v>
      </c>
      <c r="D51" s="11">
        <f t="shared" si="0"/>
        <v>582</v>
      </c>
      <c r="E51" s="11"/>
      <c r="F51" s="11" t="s">
        <v>141</v>
      </c>
      <c r="G51" s="11"/>
      <c r="H51" s="11"/>
      <c r="I51" s="13"/>
      <c r="J51" s="11"/>
      <c r="K51" s="11"/>
      <c r="L51" s="11"/>
      <c r="M51" s="11"/>
      <c r="N51" s="11"/>
      <c r="O51" s="11"/>
      <c r="P51" s="11"/>
      <c r="Q51" s="11"/>
    </row>
    <row r="52" ht="16.5" spans="1:17">
      <c r="A52" s="11"/>
      <c r="B52" s="11" t="s">
        <v>142</v>
      </c>
      <c r="C52" s="11"/>
      <c r="D52" s="11">
        <f t="shared" si="0"/>
        <v>586</v>
      </c>
      <c r="E52" s="11"/>
      <c r="F52" s="11"/>
      <c r="G52" s="11"/>
      <c r="H52" s="11"/>
      <c r="I52" s="13"/>
      <c r="J52" s="11"/>
      <c r="K52" s="11"/>
      <c r="L52" s="11"/>
      <c r="M52" s="11"/>
      <c r="N52" s="11"/>
      <c r="O52" s="11"/>
      <c r="P52" s="11"/>
      <c r="Q52" s="11"/>
    </row>
    <row r="53" ht="16.5" spans="1:17">
      <c r="A53" s="6" t="s">
        <v>29</v>
      </c>
      <c r="B53" s="7"/>
      <c r="C53" s="7"/>
      <c r="D53" s="7"/>
      <c r="E53" s="7"/>
      <c r="F53" s="7"/>
      <c r="G53" s="7"/>
      <c r="H53" s="7"/>
      <c r="I53" s="12" t="s">
        <v>86</v>
      </c>
      <c r="J53" s="9" t="s">
        <v>31</v>
      </c>
      <c r="K53" s="7"/>
      <c r="L53" s="7"/>
      <c r="M53" s="7"/>
      <c r="N53" s="7"/>
      <c r="O53" s="7"/>
      <c r="P53" s="7"/>
      <c r="Q53" s="7"/>
    </row>
    <row r="54" ht="16.5" spans="1:17">
      <c r="A54" s="7"/>
      <c r="B54" s="7"/>
      <c r="C54" s="7"/>
      <c r="D54" s="7"/>
      <c r="E54" s="7"/>
      <c r="F54" s="7"/>
      <c r="G54" s="7"/>
      <c r="H54" s="7"/>
      <c r="I54" s="13"/>
      <c r="J54" s="7"/>
      <c r="K54" s="7"/>
      <c r="L54" s="7"/>
      <c r="M54" s="7"/>
      <c r="N54" s="7"/>
      <c r="O54" s="7"/>
      <c r="P54" s="7"/>
      <c r="Q54" s="7"/>
    </row>
    <row r="55" ht="16.5" spans="1:17">
      <c r="A55" s="11"/>
      <c r="B55" s="11" t="s">
        <v>37</v>
      </c>
      <c r="C55" s="11" t="s">
        <v>34</v>
      </c>
      <c r="D55" s="11">
        <f>D52+34</f>
        <v>620</v>
      </c>
      <c r="E55" s="11"/>
      <c r="F55" s="11" t="s">
        <v>38</v>
      </c>
      <c r="G55" s="11"/>
      <c r="H55" s="11"/>
      <c r="I55" s="13"/>
      <c r="J55" s="11"/>
      <c r="K55" s="11" t="s">
        <v>39</v>
      </c>
      <c r="L55" s="11" t="s">
        <v>34</v>
      </c>
      <c r="M55" s="11">
        <f>M32+96</f>
        <v>4502</v>
      </c>
      <c r="N55" s="11"/>
      <c r="O55" s="11" t="s">
        <v>40</v>
      </c>
      <c r="P55" s="11"/>
      <c r="Q55" s="11"/>
    </row>
    <row r="56" ht="16.5" spans="1:17">
      <c r="A56" s="11"/>
      <c r="B56" s="11" t="s">
        <v>41</v>
      </c>
      <c r="C56" s="11" t="s">
        <v>42</v>
      </c>
      <c r="D56" s="11">
        <f>D55+2</f>
        <v>622</v>
      </c>
      <c r="E56" s="11"/>
      <c r="F56" s="11" t="s">
        <v>43</v>
      </c>
      <c r="G56" s="11"/>
      <c r="H56" s="11"/>
      <c r="I56" s="13"/>
      <c r="J56" s="11"/>
      <c r="K56" s="11" t="s">
        <v>44</v>
      </c>
      <c r="L56" s="11" t="s">
        <v>45</v>
      </c>
      <c r="M56" s="11">
        <f>M55+2</f>
        <v>4504</v>
      </c>
      <c r="N56" s="11"/>
      <c r="O56" s="11" t="s">
        <v>46</v>
      </c>
      <c r="P56" s="11"/>
      <c r="Q56" s="11"/>
    </row>
    <row r="57" ht="16.5" spans="1:17">
      <c r="A57" s="11"/>
      <c r="B57" s="11" t="s">
        <v>87</v>
      </c>
      <c r="C57" s="11" t="s">
        <v>88</v>
      </c>
      <c r="D57" s="11">
        <f>D56+26</f>
        <v>648</v>
      </c>
      <c r="E57" s="11"/>
      <c r="F57" s="11" t="s">
        <v>89</v>
      </c>
      <c r="G57" s="11"/>
      <c r="H57" s="11"/>
      <c r="I57" s="13"/>
      <c r="J57" s="11"/>
      <c r="K57" s="11" t="s">
        <v>143</v>
      </c>
      <c r="L57" s="11"/>
      <c r="M57" s="11">
        <f>M56+2</f>
        <v>4506</v>
      </c>
      <c r="N57" s="11"/>
      <c r="O57" s="11"/>
      <c r="P57" s="11"/>
      <c r="Q57" s="11"/>
    </row>
    <row r="58" ht="16.5" spans="1:17">
      <c r="A58" s="11"/>
      <c r="B58" s="11" t="s">
        <v>144</v>
      </c>
      <c r="C58" s="11" t="s">
        <v>145</v>
      </c>
      <c r="D58" s="11">
        <f>D57+12</f>
        <v>660</v>
      </c>
      <c r="E58" s="11"/>
      <c r="F58" s="11" t="s">
        <v>146</v>
      </c>
      <c r="G58" s="11"/>
      <c r="H58" s="11"/>
      <c r="I58" s="13"/>
      <c r="J58" s="11"/>
      <c r="K58" s="11"/>
      <c r="L58" s="11"/>
      <c r="M58" s="11"/>
      <c r="N58" s="11"/>
      <c r="O58" s="11"/>
      <c r="P58" s="11"/>
      <c r="Q58" s="11"/>
    </row>
    <row r="59" ht="16.5" spans="1:17">
      <c r="A59" s="11"/>
      <c r="B59" s="11" t="s">
        <v>147</v>
      </c>
      <c r="C59" s="11"/>
      <c r="D59" s="11">
        <f>D58+16*21</f>
        <v>996</v>
      </c>
      <c r="E59" s="11"/>
      <c r="F59" s="11"/>
      <c r="G59" s="11"/>
      <c r="H59" s="11"/>
      <c r="I59" s="13"/>
      <c r="J59" s="11"/>
      <c r="K59" s="11"/>
      <c r="L59" s="11"/>
      <c r="M59" s="11"/>
      <c r="N59" s="11"/>
      <c r="O59" s="11"/>
      <c r="P59" s="11"/>
      <c r="Q59" s="11"/>
    </row>
    <row r="60" ht="16.5" spans="1:17">
      <c r="A60" s="11"/>
      <c r="B60" s="11"/>
      <c r="C60" s="11"/>
      <c r="D60" s="11"/>
      <c r="E60" s="11"/>
      <c r="F60" s="11"/>
      <c r="G60" s="11"/>
      <c r="H60" s="11"/>
      <c r="I60" s="13"/>
      <c r="J60" s="11"/>
      <c r="K60" s="11"/>
      <c r="L60" s="11"/>
      <c r="M60" s="11"/>
      <c r="N60" s="11"/>
      <c r="O60" s="11"/>
      <c r="P60" s="11"/>
      <c r="Q60" s="11"/>
    </row>
    <row r="61" ht="16.5" spans="1:17">
      <c r="A61" s="11"/>
      <c r="B61" s="11"/>
      <c r="C61" s="11"/>
      <c r="D61" s="11"/>
      <c r="E61" s="11"/>
      <c r="F61" s="11"/>
      <c r="G61" s="11"/>
      <c r="H61" s="11"/>
      <c r="I61" s="13"/>
      <c r="J61" s="11"/>
      <c r="K61" s="11"/>
      <c r="L61" s="11"/>
      <c r="M61" s="11"/>
      <c r="N61" s="11"/>
      <c r="O61" s="11"/>
      <c r="P61" s="11"/>
      <c r="Q61" s="11"/>
    </row>
    <row r="62" ht="16.5" spans="1:17">
      <c r="A62" s="11"/>
      <c r="B62" s="11"/>
      <c r="C62" s="11"/>
      <c r="D62" s="11"/>
      <c r="E62" s="11"/>
      <c r="F62" s="11"/>
      <c r="G62" s="11"/>
      <c r="H62" s="11"/>
      <c r="I62" s="13"/>
      <c r="J62" s="11"/>
      <c r="K62" s="11"/>
      <c r="L62" s="11"/>
      <c r="M62" s="11"/>
      <c r="N62" s="11"/>
      <c r="O62" s="11"/>
      <c r="P62" s="11"/>
      <c r="Q62" s="11"/>
    </row>
    <row r="63" ht="16.5" spans="1:17">
      <c r="A63" s="11"/>
      <c r="B63" s="11"/>
      <c r="C63" s="11"/>
      <c r="D63" s="11"/>
      <c r="E63" s="11"/>
      <c r="F63" s="11"/>
      <c r="G63" s="11"/>
      <c r="H63" s="11"/>
      <c r="I63" s="13"/>
      <c r="J63" s="11"/>
      <c r="K63" s="11"/>
      <c r="L63" s="11"/>
      <c r="M63" s="11"/>
      <c r="N63" s="11"/>
      <c r="O63" s="11"/>
      <c r="P63" s="11"/>
      <c r="Q63" s="11"/>
    </row>
    <row r="64" ht="16.5" spans="1:17">
      <c r="A64" s="11"/>
      <c r="B64" s="11"/>
      <c r="C64" s="11"/>
      <c r="D64" s="11"/>
      <c r="E64" s="11"/>
      <c r="F64" s="11"/>
      <c r="G64" s="11"/>
      <c r="H64" s="11"/>
      <c r="I64" s="13"/>
      <c r="J64" s="11"/>
      <c r="K64" s="11"/>
      <c r="L64" s="11"/>
      <c r="M64" s="11"/>
      <c r="N64" s="11"/>
      <c r="O64" s="11"/>
      <c r="P64" s="11"/>
      <c r="Q64" s="11"/>
    </row>
    <row r="65" ht="16.5" spans="1:17">
      <c r="A65" s="11"/>
      <c r="B65" s="11"/>
      <c r="C65" s="11"/>
      <c r="D65" s="11"/>
      <c r="E65" s="11"/>
      <c r="F65" s="11"/>
      <c r="G65" s="11"/>
      <c r="H65" s="11"/>
      <c r="I65" s="13"/>
      <c r="J65" s="11"/>
      <c r="K65" s="11"/>
      <c r="L65" s="11"/>
      <c r="M65" s="11"/>
      <c r="N65" s="11"/>
      <c r="O65" s="11"/>
      <c r="P65" s="11"/>
      <c r="Q65" s="11"/>
    </row>
    <row r="66" ht="16.5" spans="1:17">
      <c r="A66" s="11"/>
      <c r="B66" s="11"/>
      <c r="C66" s="11"/>
      <c r="D66" s="11"/>
      <c r="E66" s="11"/>
      <c r="F66" s="11"/>
      <c r="G66" s="11"/>
      <c r="H66" s="11"/>
      <c r="I66" s="13"/>
      <c r="J66" s="11"/>
      <c r="K66" s="11"/>
      <c r="L66" s="11"/>
      <c r="M66" s="11"/>
      <c r="N66" s="11"/>
      <c r="O66" s="11"/>
      <c r="P66" s="11"/>
      <c r="Q66" s="11"/>
    </row>
    <row r="67" ht="16.5" spans="1:17">
      <c r="A67" s="11"/>
      <c r="B67" s="11"/>
      <c r="C67" s="11"/>
      <c r="D67" s="11"/>
      <c r="E67" s="11"/>
      <c r="F67" s="11"/>
      <c r="G67" s="11"/>
      <c r="H67" s="11"/>
      <c r="I67" s="13"/>
      <c r="J67" s="11"/>
      <c r="K67" s="11"/>
      <c r="L67" s="11"/>
      <c r="M67" s="11"/>
      <c r="N67" s="11"/>
      <c r="O67" s="11"/>
      <c r="P67" s="11"/>
      <c r="Q67" s="11"/>
    </row>
    <row r="68" ht="16.5" spans="1:17">
      <c r="A68" s="11"/>
      <c r="B68" s="11"/>
      <c r="C68" s="11"/>
      <c r="D68" s="11"/>
      <c r="E68" s="11"/>
      <c r="F68" s="11"/>
      <c r="G68" s="11"/>
      <c r="H68" s="11"/>
      <c r="I68" s="13"/>
      <c r="J68" s="11"/>
      <c r="K68" s="11"/>
      <c r="L68" s="11"/>
      <c r="M68" s="11"/>
      <c r="N68" s="11"/>
      <c r="O68" s="11"/>
      <c r="P68" s="11"/>
      <c r="Q68" s="11"/>
    </row>
    <row r="69" ht="16.5" spans="1:17">
      <c r="A69" s="6" t="s">
        <v>29</v>
      </c>
      <c r="B69" s="7"/>
      <c r="C69" s="7"/>
      <c r="D69" s="7"/>
      <c r="E69" s="7"/>
      <c r="F69" s="7"/>
      <c r="G69" s="7"/>
      <c r="H69" s="7"/>
      <c r="I69" s="12" t="s">
        <v>148</v>
      </c>
      <c r="J69" s="9" t="s">
        <v>31</v>
      </c>
      <c r="K69" s="7"/>
      <c r="L69" s="7"/>
      <c r="M69" s="7"/>
      <c r="N69" s="7"/>
      <c r="O69" s="7"/>
      <c r="P69" s="7"/>
      <c r="Q69" s="7"/>
    </row>
    <row r="70" ht="16.5" spans="1:17">
      <c r="A70" s="7"/>
      <c r="B70" s="7"/>
      <c r="C70" s="7"/>
      <c r="D70" s="7"/>
      <c r="E70" s="7"/>
      <c r="F70" s="7"/>
      <c r="G70" s="7"/>
      <c r="H70" s="7"/>
      <c r="I70" s="13"/>
      <c r="J70" s="7"/>
      <c r="K70" s="7"/>
      <c r="L70" s="7"/>
      <c r="M70" s="7"/>
      <c r="N70" s="7"/>
      <c r="O70" s="7"/>
      <c r="P70" s="7"/>
      <c r="Q70" s="7"/>
    </row>
    <row r="71" ht="16.5" spans="1:17">
      <c r="A71" s="11"/>
      <c r="B71" s="11" t="s">
        <v>37</v>
      </c>
      <c r="C71" s="11" t="s">
        <v>34</v>
      </c>
      <c r="D71" s="11">
        <f>D59+40</f>
        <v>1036</v>
      </c>
      <c r="E71" s="11"/>
      <c r="F71" s="11" t="s">
        <v>38</v>
      </c>
      <c r="G71" s="11"/>
      <c r="H71" s="11"/>
      <c r="I71" s="13"/>
      <c r="J71" s="11"/>
      <c r="K71" s="11" t="s">
        <v>39</v>
      </c>
      <c r="L71" s="11" t="s">
        <v>34</v>
      </c>
      <c r="M71" s="11">
        <f>M57+196</f>
        <v>4702</v>
      </c>
      <c r="N71" s="11"/>
      <c r="O71" s="11" t="s">
        <v>40</v>
      </c>
      <c r="P71" s="11"/>
      <c r="Q71" s="11"/>
    </row>
    <row r="72" ht="16.5" spans="1:17">
      <c r="A72" s="11"/>
      <c r="B72" s="11" t="s">
        <v>41</v>
      </c>
      <c r="C72" s="11" t="s">
        <v>42</v>
      </c>
      <c r="D72" s="11">
        <f>D71+2</f>
        <v>1038</v>
      </c>
      <c r="E72" s="11"/>
      <c r="F72" s="11" t="s">
        <v>43</v>
      </c>
      <c r="G72" s="11"/>
      <c r="H72" s="11"/>
      <c r="I72" s="13"/>
      <c r="J72" s="11"/>
      <c r="K72" s="11" t="s">
        <v>44</v>
      </c>
      <c r="L72" s="11" t="s">
        <v>45</v>
      </c>
      <c r="M72" s="11">
        <f>M71+2</f>
        <v>4704</v>
      </c>
      <c r="N72" s="11"/>
      <c r="O72" s="11" t="s">
        <v>46</v>
      </c>
      <c r="P72" s="11"/>
      <c r="Q72" s="11"/>
    </row>
    <row r="73" ht="16.5" spans="1:17">
      <c r="A73" s="11"/>
      <c r="B73" s="11" t="s">
        <v>149</v>
      </c>
      <c r="C73" s="11"/>
      <c r="D73" s="11">
        <f>D72+26</f>
        <v>1064</v>
      </c>
      <c r="E73" s="11"/>
      <c r="F73" s="11"/>
      <c r="G73" s="11"/>
      <c r="H73" s="11"/>
      <c r="I73" s="13"/>
      <c r="J73" s="11"/>
      <c r="K73" s="11" t="s">
        <v>150</v>
      </c>
      <c r="L73" s="11" t="s">
        <v>151</v>
      </c>
      <c r="M73" s="11">
        <f>M72+2</f>
        <v>4706</v>
      </c>
      <c r="N73" s="11"/>
      <c r="O73" s="11" t="s">
        <v>154</v>
      </c>
      <c r="P73" s="11"/>
      <c r="Q73" s="11"/>
    </row>
    <row r="74" ht="16.5" spans="1:17">
      <c r="A74" s="11"/>
      <c r="B74" s="11"/>
      <c r="C74" s="11"/>
      <c r="D74" s="11"/>
      <c r="E74" s="11"/>
      <c r="F74" s="11"/>
      <c r="G74" s="11"/>
      <c r="H74" s="11"/>
      <c r="I74" s="13"/>
      <c r="J74" s="11"/>
      <c r="K74" s="11" t="s">
        <v>48</v>
      </c>
      <c r="L74" s="11"/>
      <c r="M74" s="11">
        <f>M73+4*200</f>
        <v>5506</v>
      </c>
      <c r="N74" s="11"/>
      <c r="O74" s="11"/>
      <c r="P74" s="11"/>
      <c r="Q74" s="11"/>
    </row>
    <row r="75" customFormat="1" customHeight="1" spans="1:17">
      <c r="A75" s="6" t="s">
        <v>29</v>
      </c>
      <c r="B75" s="7"/>
      <c r="C75" s="7"/>
      <c r="D75" s="7"/>
      <c r="E75" s="7"/>
      <c r="F75" s="7"/>
      <c r="G75" s="7"/>
      <c r="H75" s="7"/>
      <c r="I75" s="8" t="s">
        <v>111</v>
      </c>
      <c r="J75" s="9" t="s">
        <v>31</v>
      </c>
      <c r="K75" s="15"/>
      <c r="L75" s="15"/>
      <c r="M75" s="15"/>
      <c r="N75" s="15"/>
      <c r="O75" s="15"/>
      <c r="P75" s="15"/>
      <c r="Q75" s="15"/>
    </row>
    <row r="76" customFormat="1" customHeight="1" spans="1:17">
      <c r="A76" s="7"/>
      <c r="B76" s="7"/>
      <c r="C76" s="7"/>
      <c r="D76" s="7"/>
      <c r="E76" s="7"/>
      <c r="F76" s="7"/>
      <c r="G76" s="7"/>
      <c r="H76" s="7"/>
      <c r="I76" s="16"/>
      <c r="J76" s="15"/>
      <c r="K76" s="15"/>
      <c r="L76" s="15"/>
      <c r="M76" s="15"/>
      <c r="N76" s="15"/>
      <c r="O76" s="15"/>
      <c r="P76" s="15"/>
      <c r="Q76" s="15"/>
    </row>
    <row r="77" customFormat="1" customHeight="1" spans="1:17">
      <c r="B77" t="s">
        <v>37</v>
      </c>
      <c r="C77" t="s">
        <v>34</v>
      </c>
      <c r="D77">
        <f>D73+36</f>
        <v>1100</v>
      </c>
      <c r="F77" t="s">
        <v>38</v>
      </c>
      <c r="I77" s="16"/>
      <c r="K77" s="11" t="s">
        <v>39</v>
      </c>
      <c r="L77" s="11" t="s">
        <v>34</v>
      </c>
      <c r="M77" s="11">
        <f>M74+96</f>
        <v>5602</v>
      </c>
      <c r="N77" s="11"/>
      <c r="O77" s="11" t="s">
        <v>40</v>
      </c>
    </row>
    <row r="78" customFormat="1" customHeight="1" spans="1:17">
      <c r="B78" t="s">
        <v>112</v>
      </c>
      <c r="C78" t="s">
        <v>42</v>
      </c>
      <c r="D78">
        <f>D77+2</f>
        <v>1102</v>
      </c>
      <c r="F78" t="s">
        <v>113</v>
      </c>
      <c r="I78" s="16"/>
      <c r="K78" s="11" t="s">
        <v>44</v>
      </c>
      <c r="L78" s="11" t="s">
        <v>45</v>
      </c>
      <c r="M78" s="11">
        <f>M77+2</f>
        <v>5604</v>
      </c>
      <c r="N78" s="11"/>
      <c r="O78" s="11" t="s">
        <v>46</v>
      </c>
    </row>
    <row r="79" customFormat="1" customHeight="1" spans="1:17">
      <c r="B79" t="s">
        <v>114</v>
      </c>
      <c r="C79" t="s">
        <v>42</v>
      </c>
      <c r="D79">
        <f>D78+26</f>
        <v>1128</v>
      </c>
      <c r="F79" t="s">
        <v>115</v>
      </c>
      <c r="I79" s="16"/>
    </row>
    <row r="80" customFormat="1" customHeight="1" spans="1:17">
      <c r="B80" t="s">
        <v>116</v>
      </c>
      <c r="C80" t="s">
        <v>117</v>
      </c>
      <c r="D80">
        <f>D79+26</f>
        <v>1154</v>
      </c>
      <c r="F80" t="s">
        <v>118</v>
      </c>
      <c r="I80" s="17"/>
    </row>
  </sheetData>
  <mergeCells count="27">
    <mergeCell ref="I2:I4"/>
    <mergeCell ref="I5:I9"/>
    <mergeCell ref="I10:I15"/>
    <mergeCell ref="I16:I21"/>
    <mergeCell ref="I22:I27"/>
    <mergeCell ref="I28:I52"/>
    <mergeCell ref="I53:I68"/>
    <mergeCell ref="I69:I74"/>
    <mergeCell ref="I75:I80"/>
    <mergeCell ref="A2:H3"/>
    <mergeCell ref="J2:Q3"/>
    <mergeCell ref="A5:H6"/>
    <mergeCell ref="J5:Q6"/>
    <mergeCell ref="A10:H11"/>
    <mergeCell ref="J10:Q11"/>
    <mergeCell ref="A16:H17"/>
    <mergeCell ref="J16:Q17"/>
    <mergeCell ref="A22:H23"/>
    <mergeCell ref="J22:Q23"/>
    <mergeCell ref="A28:H29"/>
    <mergeCell ref="J28:Q29"/>
    <mergeCell ref="A53:H54"/>
    <mergeCell ref="J53:Q54"/>
    <mergeCell ref="A69:H70"/>
    <mergeCell ref="J69:Q70"/>
    <mergeCell ref="A75:H76"/>
    <mergeCell ref="J75:Q76"/>
  </mergeCells>
  <pageMargins left="0.7875" right="0.7875" top="0.7875" bottom="0.7875" header="0.39375" footer="0.39375"/>
  <pageSetup paperSize="9" fitToWidth="0" pageOrder="overThenDown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9"/>
  <sheetViews>
    <sheetView zoomScale="85" zoomScaleNormal="85" topLeftCell="F37" workbookViewId="0">
      <selection activeCell="M68" sqref="M68"/>
    </sheetView>
  </sheetViews>
  <sheetFormatPr defaultColWidth="13.6416666666667" defaultRowHeight="18" customHeight="1"/>
  <cols>
    <col min="1" max="1" width="10.7083333333333" customWidth="1"/>
    <col min="2" max="2" width="24.7083333333333" customWidth="1"/>
    <col min="3" max="3" width="47.7083333333333" customWidth="1"/>
    <col min="4" max="4" width="18.7083333333333" customWidth="1"/>
    <col min="5" max="5" width="6.70833333333333" customWidth="1"/>
    <col min="6" max="6" width="71.7083333333333" customWidth="1"/>
    <col min="7" max="8" width="10.7083333333333" customWidth="1"/>
    <col min="9" max="9" width="58.7083333333333" customWidth="1"/>
    <col min="10" max="10" width="10.7083333333333" customWidth="1"/>
    <col min="11" max="11" width="21.7083333333333" customWidth="1"/>
    <col min="12" max="12" width="31.7083333333333" customWidth="1"/>
    <col min="13" max="13" width="18.7083333333333" customWidth="1"/>
    <col min="14" max="14" width="6.70833333333333" customWidth="1"/>
    <col min="15" max="15" width="62.7083333333333" customWidth="1"/>
    <col min="16" max="17" width="10.7083333333333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4" t="s">
        <v>28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</row>
    <row r="2" ht="16.5" spans="1:17">
      <c r="A2" s="6" t="s">
        <v>29</v>
      </c>
      <c r="B2" s="7"/>
      <c r="C2" s="7"/>
      <c r="D2" s="7"/>
      <c r="E2" s="7"/>
      <c r="F2" s="7"/>
      <c r="G2" s="7"/>
      <c r="H2" s="7"/>
      <c r="I2" s="8" t="s">
        <v>30</v>
      </c>
      <c r="J2" s="9" t="s">
        <v>31</v>
      </c>
      <c r="K2" s="7"/>
      <c r="L2" s="7"/>
      <c r="M2" s="7"/>
      <c r="N2" s="7"/>
      <c r="O2" s="7"/>
      <c r="P2" s="7"/>
      <c r="Q2" s="7"/>
    </row>
    <row r="3" ht="16.5" spans="1:17">
      <c r="A3" s="7"/>
      <c r="B3" s="7"/>
      <c r="C3" s="7"/>
      <c r="D3" s="7"/>
      <c r="E3" s="7"/>
      <c r="F3" s="7"/>
      <c r="G3" s="7"/>
      <c r="H3" s="7"/>
      <c r="I3" s="10"/>
      <c r="J3" s="7"/>
      <c r="K3" s="7"/>
      <c r="L3" s="7"/>
      <c r="M3" s="7"/>
      <c r="N3" s="7"/>
      <c r="O3" s="7"/>
      <c r="P3" s="7"/>
      <c r="Q3" s="7"/>
    </row>
    <row r="4" ht="16.5" spans="1:17">
      <c r="A4" s="11"/>
      <c r="B4" s="11" t="s">
        <v>32</v>
      </c>
      <c r="C4" s="11"/>
      <c r="D4" s="11">
        <v>0</v>
      </c>
      <c r="E4" s="11"/>
      <c r="F4" s="11"/>
      <c r="G4" s="11"/>
      <c r="H4" s="11">
        <v>200</v>
      </c>
      <c r="I4" s="10"/>
      <c r="J4" s="11"/>
      <c r="K4" s="11" t="s">
        <v>33</v>
      </c>
      <c r="L4" s="11" t="s">
        <v>34</v>
      </c>
      <c r="M4" s="11">
        <v>4000</v>
      </c>
      <c r="N4" s="11"/>
      <c r="O4" s="11" t="s">
        <v>35</v>
      </c>
      <c r="P4" s="11"/>
      <c r="Q4" s="11">
        <v>200</v>
      </c>
    </row>
    <row r="5" ht="16.5" spans="1:17">
      <c r="A5" s="6" t="s">
        <v>29</v>
      </c>
      <c r="B5" s="7"/>
      <c r="C5" s="7"/>
      <c r="D5" s="7"/>
      <c r="E5" s="7"/>
      <c r="F5" s="7"/>
      <c r="G5" s="7"/>
      <c r="H5" s="7"/>
      <c r="I5" s="12" t="s">
        <v>36</v>
      </c>
      <c r="J5" s="9" t="s">
        <v>31</v>
      </c>
      <c r="K5" s="7"/>
      <c r="L5" s="7"/>
      <c r="M5" s="7"/>
      <c r="N5" s="7"/>
      <c r="O5" s="7"/>
      <c r="P5" s="7"/>
      <c r="Q5" s="7"/>
    </row>
    <row r="6" ht="16.5" spans="1:17">
      <c r="A6" s="7"/>
      <c r="B6" s="7"/>
      <c r="C6" s="7"/>
      <c r="D6" s="7"/>
      <c r="E6" s="7"/>
      <c r="F6" s="7"/>
      <c r="G6" s="7"/>
      <c r="H6" s="7"/>
      <c r="I6" s="13"/>
      <c r="J6" s="7"/>
      <c r="K6" s="7"/>
      <c r="L6" s="7"/>
      <c r="M6" s="7"/>
      <c r="N6" s="7"/>
      <c r="O6" s="7"/>
      <c r="P6" s="7"/>
      <c r="Q6" s="7"/>
    </row>
    <row r="7" ht="16.5" spans="1:17">
      <c r="A7" s="11"/>
      <c r="B7" s="11" t="s">
        <v>37</v>
      </c>
      <c r="C7" s="11" t="s">
        <v>34</v>
      </c>
      <c r="D7" s="11">
        <v>100</v>
      </c>
      <c r="E7" s="11"/>
      <c r="F7" s="11" t="s">
        <v>38</v>
      </c>
      <c r="G7" s="11"/>
      <c r="H7" s="11"/>
      <c r="I7" s="13"/>
      <c r="J7" s="11"/>
      <c r="K7" s="11" t="s">
        <v>39</v>
      </c>
      <c r="L7" s="11" t="s">
        <v>34</v>
      </c>
      <c r="M7" s="11">
        <f>M4+100</f>
        <v>4100</v>
      </c>
      <c r="N7" s="11">
        <v>0</v>
      </c>
      <c r="O7" s="11" t="s">
        <v>40</v>
      </c>
      <c r="P7" s="11"/>
      <c r="Q7" s="11"/>
    </row>
    <row r="8" ht="16.5" spans="1:17">
      <c r="A8" s="11"/>
      <c r="B8" s="11" t="s">
        <v>41</v>
      </c>
      <c r="C8" s="11" t="s">
        <v>42</v>
      </c>
      <c r="D8" s="11">
        <f>D7+2</f>
        <v>102</v>
      </c>
      <c r="E8" s="11"/>
      <c r="F8" s="11" t="s">
        <v>43</v>
      </c>
      <c r="G8" s="11"/>
      <c r="H8" s="11"/>
      <c r="I8" s="13"/>
      <c r="J8" s="11"/>
      <c r="K8" s="11" t="s">
        <v>44</v>
      </c>
      <c r="L8" s="11" t="s">
        <v>45</v>
      </c>
      <c r="M8" s="11">
        <f>M7+2</f>
        <v>4102</v>
      </c>
      <c r="N8" s="11"/>
      <c r="O8" s="11" t="s">
        <v>46</v>
      </c>
      <c r="P8" s="11"/>
      <c r="Q8" s="11"/>
    </row>
    <row r="9" ht="16.5" spans="1:17">
      <c r="A9" s="11"/>
      <c r="B9" s="11" t="s">
        <v>47</v>
      </c>
      <c r="C9" s="11"/>
      <c r="D9" s="11">
        <f>D8+26</f>
        <v>128</v>
      </c>
      <c r="E9" s="11"/>
      <c r="F9" s="11"/>
      <c r="G9" s="11"/>
      <c r="H9" s="11"/>
      <c r="I9" s="13"/>
      <c r="J9" s="11"/>
      <c r="K9" s="11" t="s">
        <v>48</v>
      </c>
      <c r="L9" s="11"/>
      <c r="M9" s="11">
        <f>M8+2</f>
        <v>4104</v>
      </c>
      <c r="N9" s="11"/>
      <c r="O9" s="11"/>
      <c r="P9" s="11"/>
      <c r="Q9" s="11"/>
    </row>
    <row r="10" ht="16.5" spans="1:17">
      <c r="A10" s="6" t="s">
        <v>29</v>
      </c>
      <c r="B10" s="7"/>
      <c r="C10" s="7"/>
      <c r="D10" s="7"/>
      <c r="E10" s="7"/>
      <c r="F10" s="7"/>
      <c r="G10" s="7"/>
      <c r="H10" s="7"/>
      <c r="I10" s="12" t="s">
        <v>49</v>
      </c>
      <c r="J10" s="9" t="s">
        <v>31</v>
      </c>
      <c r="K10" s="7"/>
      <c r="L10" s="7"/>
      <c r="M10" s="7"/>
      <c r="N10" s="7"/>
      <c r="O10" s="7"/>
      <c r="P10" s="7"/>
      <c r="Q10" s="7"/>
    </row>
    <row r="11" ht="16.5" spans="1:17">
      <c r="A11" s="7"/>
      <c r="B11" s="7"/>
      <c r="C11" s="7"/>
      <c r="D11" s="7"/>
      <c r="E11" s="7"/>
      <c r="F11" s="7"/>
      <c r="G11" s="7"/>
      <c r="H11" s="7"/>
      <c r="I11" s="13"/>
      <c r="J11" s="7"/>
      <c r="K11" s="7"/>
      <c r="L11" s="7"/>
      <c r="M11" s="7"/>
      <c r="N11" s="7"/>
      <c r="O11" s="7"/>
      <c r="P11" s="7"/>
      <c r="Q11" s="7"/>
    </row>
    <row r="12" ht="16.5" spans="1:17">
      <c r="A12" s="11"/>
      <c r="B12" s="11" t="s">
        <v>37</v>
      </c>
      <c r="C12" s="11" t="s">
        <v>34</v>
      </c>
      <c r="D12" s="11">
        <f>D9+72</f>
        <v>200</v>
      </c>
      <c r="E12" s="11"/>
      <c r="F12" s="11" t="s">
        <v>38</v>
      </c>
      <c r="G12" s="11"/>
      <c r="H12" s="11"/>
      <c r="I12" s="13"/>
      <c r="J12" s="11"/>
      <c r="K12" s="11" t="s">
        <v>39</v>
      </c>
      <c r="L12" s="11" t="s">
        <v>34</v>
      </c>
      <c r="M12" s="11">
        <f>M9+96</f>
        <v>4200</v>
      </c>
      <c r="N12" s="11"/>
      <c r="O12" s="11" t="s">
        <v>40</v>
      </c>
      <c r="P12" s="11"/>
      <c r="Q12" s="11"/>
    </row>
    <row r="13" ht="16.5" spans="1:17">
      <c r="A13" s="11"/>
      <c r="B13" s="11" t="s">
        <v>41</v>
      </c>
      <c r="C13" s="11" t="s">
        <v>42</v>
      </c>
      <c r="D13" s="11">
        <f>D12+2</f>
        <v>202</v>
      </c>
      <c r="E13" s="11"/>
      <c r="F13" s="11" t="s">
        <v>43</v>
      </c>
      <c r="G13" s="11"/>
      <c r="H13" s="11"/>
      <c r="I13" s="13"/>
      <c r="J13" s="11"/>
      <c r="K13" s="11" t="s">
        <v>44</v>
      </c>
      <c r="L13" s="11" t="s">
        <v>45</v>
      </c>
      <c r="M13" s="11">
        <f>M12+2</f>
        <v>4202</v>
      </c>
      <c r="N13" s="11"/>
      <c r="O13" s="11" t="s">
        <v>46</v>
      </c>
      <c r="P13" s="11"/>
      <c r="Q13" s="11"/>
    </row>
    <row r="14" ht="16.5" spans="1:17">
      <c r="A14" s="11"/>
      <c r="B14" s="11" t="s">
        <v>50</v>
      </c>
      <c r="C14" s="11" t="s">
        <v>42</v>
      </c>
      <c r="D14" s="11">
        <f>D13+26</f>
        <v>228</v>
      </c>
      <c r="E14" s="11"/>
      <c r="F14" s="11" t="s">
        <v>51</v>
      </c>
      <c r="G14" s="11"/>
      <c r="H14" s="11"/>
      <c r="I14" s="13"/>
      <c r="J14" s="11"/>
      <c r="K14" s="11" t="s">
        <v>48</v>
      </c>
      <c r="L14" s="11"/>
      <c r="M14" s="11">
        <f>M13+2</f>
        <v>4204</v>
      </c>
      <c r="N14" s="11"/>
      <c r="O14" s="11"/>
      <c r="P14" s="11"/>
      <c r="Q14" s="11"/>
    </row>
    <row r="15" ht="16.5" spans="1:17">
      <c r="A15" s="11"/>
      <c r="B15" s="11" t="s">
        <v>52</v>
      </c>
      <c r="C15" s="11"/>
      <c r="D15" s="11">
        <f>D14+26</f>
        <v>254</v>
      </c>
      <c r="E15" s="11"/>
      <c r="F15" s="11"/>
      <c r="G15" s="11"/>
      <c r="H15" s="11"/>
      <c r="I15" s="13"/>
      <c r="J15" s="11"/>
      <c r="K15" s="11"/>
      <c r="L15" s="11"/>
      <c r="M15" s="11"/>
      <c r="N15" s="11"/>
      <c r="O15" s="11"/>
      <c r="P15" s="11"/>
      <c r="Q15" s="11"/>
    </row>
    <row r="16" ht="16.5" spans="1:17">
      <c r="A16" s="6" t="s">
        <v>29</v>
      </c>
      <c r="B16" s="7"/>
      <c r="C16" s="7"/>
      <c r="D16" s="7"/>
      <c r="E16" s="7"/>
      <c r="F16" s="7"/>
      <c r="G16" s="7"/>
      <c r="H16" s="7"/>
      <c r="I16" s="12" t="s">
        <v>53</v>
      </c>
      <c r="J16" s="9" t="s">
        <v>31</v>
      </c>
      <c r="K16" s="7"/>
      <c r="L16" s="7"/>
      <c r="M16" s="7"/>
      <c r="N16" s="7"/>
      <c r="O16" s="7"/>
      <c r="P16" s="7"/>
      <c r="Q16" s="7"/>
    </row>
    <row r="17" ht="16.5" spans="1:17">
      <c r="A17" s="7"/>
      <c r="B17" s="7"/>
      <c r="C17" s="7"/>
      <c r="D17" s="7"/>
      <c r="E17" s="7"/>
      <c r="F17" s="7"/>
      <c r="G17" s="7"/>
      <c r="H17" s="7"/>
      <c r="I17" s="13"/>
      <c r="J17" s="7"/>
      <c r="K17" s="7"/>
      <c r="L17" s="7"/>
      <c r="M17" s="7"/>
      <c r="N17" s="7"/>
      <c r="O17" s="7"/>
      <c r="P17" s="7"/>
      <c r="Q17" s="7"/>
    </row>
    <row r="18" ht="16.5" spans="1:17">
      <c r="A18" s="11"/>
      <c r="B18" s="11" t="s">
        <v>37</v>
      </c>
      <c r="C18" s="11" t="s">
        <v>34</v>
      </c>
      <c r="D18" s="11">
        <f>D15+46</f>
        <v>300</v>
      </c>
      <c r="E18" s="11"/>
      <c r="F18" s="11" t="s">
        <v>38</v>
      </c>
      <c r="G18" s="11"/>
      <c r="H18" s="11"/>
      <c r="I18" s="13"/>
      <c r="J18" s="11"/>
      <c r="K18" s="11" t="s">
        <v>39</v>
      </c>
      <c r="L18" s="11" t="s">
        <v>34</v>
      </c>
      <c r="M18" s="11">
        <f>M14+96</f>
        <v>4300</v>
      </c>
      <c r="N18" s="11"/>
      <c r="O18" s="11" t="s">
        <v>40</v>
      </c>
      <c r="P18" s="11"/>
      <c r="Q18" s="11"/>
    </row>
    <row r="19" ht="16.5" spans="1:17">
      <c r="A19" s="11"/>
      <c r="B19" s="11" t="s">
        <v>41</v>
      </c>
      <c r="C19" s="11" t="s">
        <v>42</v>
      </c>
      <c r="D19" s="11">
        <f>D18+2</f>
        <v>302</v>
      </c>
      <c r="E19" s="11"/>
      <c r="F19" s="11" t="s">
        <v>54</v>
      </c>
      <c r="G19" s="11"/>
      <c r="H19" s="11"/>
      <c r="I19" s="13"/>
      <c r="J19" s="11"/>
      <c r="K19" s="11" t="s">
        <v>44</v>
      </c>
      <c r="L19" s="11" t="s">
        <v>45</v>
      </c>
      <c r="M19" s="11">
        <f>M18+2</f>
        <v>4302</v>
      </c>
      <c r="N19" s="11"/>
      <c r="O19" s="11" t="s">
        <v>46</v>
      </c>
      <c r="P19" s="11"/>
      <c r="Q19" s="11"/>
    </row>
    <row r="20" ht="16.5" spans="1:17">
      <c r="A20" s="11"/>
      <c r="B20" s="11" t="s">
        <v>55</v>
      </c>
      <c r="C20" s="11" t="s">
        <v>42</v>
      </c>
      <c r="D20" s="11">
        <f>D19+26</f>
        <v>328</v>
      </c>
      <c r="E20" s="11"/>
      <c r="F20" s="11" t="s">
        <v>56</v>
      </c>
      <c r="G20" s="11"/>
      <c r="H20" s="11"/>
      <c r="I20" s="13"/>
      <c r="J20" s="11"/>
      <c r="K20" s="11" t="s">
        <v>48</v>
      </c>
      <c r="L20" s="11"/>
      <c r="M20" s="11">
        <f>M19+2</f>
        <v>4304</v>
      </c>
      <c r="N20" s="11"/>
      <c r="O20" s="11"/>
      <c r="P20" s="11"/>
      <c r="Q20" s="11"/>
    </row>
    <row r="21" ht="16.5" spans="1:17">
      <c r="A21" s="11"/>
      <c r="B21" s="11" t="s">
        <v>52</v>
      </c>
      <c r="C21" s="11"/>
      <c r="D21" s="11">
        <f>D20+26</f>
        <v>354</v>
      </c>
      <c r="E21" s="11"/>
      <c r="F21" s="11"/>
      <c r="G21" s="11"/>
      <c r="H21" s="11"/>
      <c r="I21" s="13"/>
      <c r="J21" s="11"/>
      <c r="K21" s="11"/>
      <c r="L21" s="11"/>
      <c r="M21" s="11"/>
      <c r="N21" s="11"/>
      <c r="O21" s="11"/>
      <c r="P21" s="11"/>
      <c r="Q21" s="11"/>
    </row>
    <row r="22" ht="16.5" spans="1:17">
      <c r="A22" s="6" t="s">
        <v>29</v>
      </c>
      <c r="B22" s="7"/>
      <c r="C22" s="7"/>
      <c r="D22" s="7"/>
      <c r="E22" s="7"/>
      <c r="F22" s="7"/>
      <c r="G22" s="7"/>
      <c r="H22" s="7"/>
      <c r="I22" s="12" t="s">
        <v>57</v>
      </c>
      <c r="J22" s="9" t="s">
        <v>31</v>
      </c>
      <c r="K22" s="7"/>
      <c r="L22" s="7"/>
      <c r="M22" s="7"/>
      <c r="N22" s="7"/>
      <c r="O22" s="7"/>
      <c r="P22" s="7"/>
      <c r="Q22" s="7"/>
    </row>
    <row r="23" ht="16.5" spans="1:17">
      <c r="A23" s="7"/>
      <c r="B23" s="7"/>
      <c r="C23" s="7"/>
      <c r="D23" s="7"/>
      <c r="E23" s="7"/>
      <c r="F23" s="7"/>
      <c r="G23" s="7"/>
      <c r="H23" s="7"/>
      <c r="I23" s="13"/>
      <c r="J23" s="7"/>
      <c r="K23" s="7"/>
      <c r="L23" s="7"/>
      <c r="M23" s="7"/>
      <c r="N23" s="7"/>
      <c r="O23" s="7"/>
      <c r="P23" s="7"/>
      <c r="Q23" s="7"/>
    </row>
    <row r="24" ht="16.5" spans="1:17">
      <c r="A24" s="11"/>
      <c r="B24" s="11" t="s">
        <v>37</v>
      </c>
      <c r="C24" s="11" t="s">
        <v>34</v>
      </c>
      <c r="D24" s="11">
        <f>D21+46</f>
        <v>400</v>
      </c>
      <c r="E24" s="11"/>
      <c r="F24" s="11" t="s">
        <v>38</v>
      </c>
      <c r="G24" s="11"/>
      <c r="H24" s="11"/>
      <c r="I24" s="13"/>
      <c r="J24" s="11"/>
      <c r="K24" s="11" t="s">
        <v>39</v>
      </c>
      <c r="L24" s="11" t="s">
        <v>34</v>
      </c>
      <c r="M24" s="11">
        <f>M20+96</f>
        <v>4400</v>
      </c>
      <c r="N24" s="11"/>
      <c r="O24" s="11" t="s">
        <v>40</v>
      </c>
      <c r="P24" s="11"/>
      <c r="Q24" s="11"/>
    </row>
    <row r="25" ht="16.5" spans="1:17">
      <c r="A25" s="11"/>
      <c r="B25" s="11" t="s">
        <v>58</v>
      </c>
      <c r="C25" s="11"/>
      <c r="D25" s="11">
        <f>D24+2</f>
        <v>402</v>
      </c>
      <c r="E25" s="11"/>
      <c r="F25" s="11"/>
      <c r="G25" s="11"/>
      <c r="H25" s="11"/>
      <c r="I25" s="13"/>
      <c r="J25" s="11"/>
      <c r="K25" s="11" t="s">
        <v>44</v>
      </c>
      <c r="L25" s="11" t="s">
        <v>45</v>
      </c>
      <c r="M25" s="11">
        <f>M24+2</f>
        <v>4402</v>
      </c>
      <c r="N25" s="11"/>
      <c r="O25" s="11" t="s">
        <v>46</v>
      </c>
      <c r="P25" s="11"/>
      <c r="Q25" s="11"/>
    </row>
    <row r="26" ht="16.5" spans="1:17">
      <c r="A26" s="11"/>
      <c r="B26" s="11"/>
      <c r="C26" s="11"/>
      <c r="D26" s="11"/>
      <c r="E26" s="11"/>
      <c r="F26" s="11"/>
      <c r="G26" s="11"/>
      <c r="H26" s="11"/>
      <c r="I26" s="13"/>
      <c r="J26" s="11"/>
      <c r="K26" s="11" t="s">
        <v>50</v>
      </c>
      <c r="L26" s="11" t="s">
        <v>42</v>
      </c>
      <c r="M26" s="11">
        <f>M25+2</f>
        <v>4404</v>
      </c>
      <c r="N26" s="11"/>
      <c r="O26" s="11" t="s">
        <v>60</v>
      </c>
      <c r="P26" s="11"/>
      <c r="Q26" s="11"/>
    </row>
    <row r="27" ht="16.5" spans="1:17">
      <c r="A27" s="11"/>
      <c r="B27" s="11"/>
      <c r="C27" s="11"/>
      <c r="D27" s="11"/>
      <c r="E27" s="11"/>
      <c r="F27" s="11"/>
      <c r="G27" s="11"/>
      <c r="H27" s="11"/>
      <c r="I27" s="13"/>
      <c r="J27" s="11"/>
      <c r="K27" s="11" t="s">
        <v>119</v>
      </c>
      <c r="L27" s="11"/>
      <c r="M27" s="11">
        <f>M26+26</f>
        <v>4430</v>
      </c>
      <c r="N27" s="11"/>
      <c r="O27" s="11"/>
      <c r="P27" s="11"/>
      <c r="Q27" s="11"/>
    </row>
    <row r="28" ht="16.5" spans="1:17">
      <c r="A28" s="6" t="s">
        <v>29</v>
      </c>
      <c r="B28" s="7"/>
      <c r="C28" s="7"/>
      <c r="D28" s="7"/>
      <c r="E28" s="7"/>
      <c r="F28" s="7"/>
      <c r="G28" s="7"/>
      <c r="H28" s="7"/>
      <c r="I28" s="14" t="s">
        <v>63</v>
      </c>
      <c r="J28" s="9" t="s">
        <v>31</v>
      </c>
      <c r="K28" s="7"/>
      <c r="L28" s="7"/>
      <c r="M28" s="7"/>
      <c r="N28" s="7"/>
      <c r="O28" s="7"/>
      <c r="P28" s="7"/>
      <c r="Q28" s="7"/>
    </row>
    <row r="29" ht="16.5" spans="1:17">
      <c r="A29" s="7"/>
      <c r="B29" s="7"/>
      <c r="C29" s="7"/>
      <c r="D29" s="7"/>
      <c r="E29" s="7"/>
      <c r="F29" s="7"/>
      <c r="G29" s="7"/>
      <c r="H29" s="7"/>
      <c r="I29" s="13"/>
      <c r="J29" s="7"/>
      <c r="K29" s="7"/>
      <c r="L29" s="7"/>
      <c r="M29" s="7"/>
      <c r="N29" s="7"/>
      <c r="O29" s="7"/>
      <c r="P29" s="7"/>
      <c r="Q29" s="7"/>
    </row>
    <row r="30" ht="16.5" spans="1:17">
      <c r="A30" s="11"/>
      <c r="B30" s="11" t="s">
        <v>37</v>
      </c>
      <c r="C30" s="11" t="s">
        <v>34</v>
      </c>
      <c r="D30" s="11">
        <f>D25+98</f>
        <v>500</v>
      </c>
      <c r="E30" s="11"/>
      <c r="F30" s="11" t="s">
        <v>38</v>
      </c>
      <c r="G30" s="11"/>
      <c r="H30" s="11"/>
      <c r="I30" s="13"/>
      <c r="J30" s="11"/>
      <c r="K30" s="11" t="s">
        <v>39</v>
      </c>
      <c r="L30" s="11" t="s">
        <v>34</v>
      </c>
      <c r="M30" s="11">
        <f>M27+70</f>
        <v>4500</v>
      </c>
      <c r="N30" s="11"/>
      <c r="O30" s="11" t="s">
        <v>40</v>
      </c>
      <c r="P30" s="11"/>
      <c r="Q30" s="11"/>
    </row>
    <row r="31" ht="16.5" spans="1:17">
      <c r="A31" s="11"/>
      <c r="B31" s="11" t="s">
        <v>64</v>
      </c>
      <c r="C31" s="11" t="s">
        <v>65</v>
      </c>
      <c r="D31" s="11">
        <f>D30+2</f>
        <v>502</v>
      </c>
      <c r="E31" s="11"/>
      <c r="F31" s="11" t="s">
        <v>66</v>
      </c>
      <c r="G31" s="11"/>
      <c r="H31" s="11"/>
      <c r="I31" s="13"/>
      <c r="J31" s="11"/>
      <c r="K31" s="11" t="s">
        <v>44</v>
      </c>
      <c r="L31" s="11" t="s">
        <v>45</v>
      </c>
      <c r="M31" s="11">
        <f>M30+2</f>
        <v>4502</v>
      </c>
      <c r="N31" s="11"/>
      <c r="O31" s="11" t="s">
        <v>46</v>
      </c>
      <c r="P31" s="11"/>
      <c r="Q31" s="11"/>
    </row>
    <row r="32" ht="16.5" spans="1:17">
      <c r="A32" s="11"/>
      <c r="B32" s="11" t="s">
        <v>67</v>
      </c>
      <c r="C32" s="11" t="s">
        <v>65</v>
      </c>
      <c r="D32" s="11">
        <f t="shared" ref="D32:D41" si="0">D31+4</f>
        <v>506</v>
      </c>
      <c r="E32" s="11"/>
      <c r="F32" s="11" t="s">
        <v>68</v>
      </c>
      <c r="G32" s="11"/>
      <c r="H32" s="11"/>
      <c r="I32" s="13"/>
      <c r="J32" s="11"/>
      <c r="K32" s="11" t="s">
        <v>48</v>
      </c>
      <c r="L32" s="11"/>
      <c r="M32" s="11">
        <f>M31+2</f>
        <v>4504</v>
      </c>
      <c r="N32" s="11"/>
      <c r="O32" s="11"/>
      <c r="P32" s="11"/>
      <c r="Q32" s="11"/>
    </row>
    <row r="33" ht="16.5" spans="1:17">
      <c r="A33" s="11"/>
      <c r="B33" s="11" t="s">
        <v>69</v>
      </c>
      <c r="C33" s="11" t="s">
        <v>65</v>
      </c>
      <c r="D33" s="11">
        <f t="shared" si="0"/>
        <v>510</v>
      </c>
      <c r="E33" s="11"/>
      <c r="F33" s="11" t="s">
        <v>70</v>
      </c>
      <c r="G33" s="11"/>
      <c r="H33" s="11"/>
      <c r="I33" s="13"/>
      <c r="J33" s="11"/>
      <c r="K33" s="11"/>
      <c r="L33" s="11"/>
      <c r="M33" s="11"/>
      <c r="N33" s="11"/>
      <c r="O33" s="11"/>
      <c r="P33" s="11"/>
      <c r="Q33" s="11"/>
    </row>
    <row r="34" ht="16.5" spans="1:17">
      <c r="A34" s="11"/>
      <c r="B34" s="11" t="s">
        <v>71</v>
      </c>
      <c r="C34" s="11" t="s">
        <v>65</v>
      </c>
      <c r="D34" s="11">
        <f t="shared" si="0"/>
        <v>514</v>
      </c>
      <c r="E34" s="11"/>
      <c r="F34" s="11" t="s">
        <v>72</v>
      </c>
      <c r="G34" s="11"/>
      <c r="H34" s="11"/>
      <c r="I34" s="13"/>
      <c r="J34" s="11"/>
      <c r="K34" s="11"/>
      <c r="L34" s="11"/>
      <c r="M34" s="11"/>
      <c r="N34" s="11"/>
      <c r="O34" s="11"/>
      <c r="P34" s="11"/>
      <c r="Q34" s="11"/>
    </row>
    <row r="35" ht="16.5" spans="1:17">
      <c r="A35" s="11"/>
      <c r="B35" s="11" t="s">
        <v>73</v>
      </c>
      <c r="C35" s="11" t="s">
        <v>65</v>
      </c>
      <c r="D35" s="11">
        <f t="shared" si="0"/>
        <v>518</v>
      </c>
      <c r="E35" s="11"/>
      <c r="F35" s="11" t="s">
        <v>74</v>
      </c>
      <c r="G35" s="11"/>
      <c r="H35" s="11"/>
      <c r="I35" s="13"/>
      <c r="J35" s="11"/>
      <c r="K35" s="11"/>
      <c r="L35" s="11"/>
      <c r="M35" s="11"/>
      <c r="N35" s="11"/>
      <c r="O35" s="11"/>
      <c r="P35" s="11"/>
      <c r="Q35" s="11"/>
    </row>
    <row r="36" ht="16.5" spans="1:17">
      <c r="A36" s="11"/>
      <c r="B36" s="11" t="s">
        <v>75</v>
      </c>
      <c r="C36" s="11" t="s">
        <v>65</v>
      </c>
      <c r="D36" s="11">
        <f t="shared" si="0"/>
        <v>522</v>
      </c>
      <c r="E36" s="11"/>
      <c r="F36" s="11" t="s">
        <v>76</v>
      </c>
      <c r="G36" s="11"/>
      <c r="H36" s="11"/>
      <c r="I36" s="13"/>
      <c r="J36" s="11"/>
      <c r="K36" s="11"/>
      <c r="L36" s="11"/>
      <c r="M36" s="11"/>
      <c r="N36" s="11"/>
      <c r="O36" s="11"/>
      <c r="P36" s="11"/>
      <c r="Q36" s="11"/>
    </row>
    <row r="37" ht="16.5" spans="1:17">
      <c r="A37" s="11"/>
      <c r="B37" s="11" t="s">
        <v>77</v>
      </c>
      <c r="C37" s="11" t="s">
        <v>65</v>
      </c>
      <c r="D37" s="11">
        <f t="shared" si="0"/>
        <v>526</v>
      </c>
      <c r="E37" s="11"/>
      <c r="F37" s="11" t="s">
        <v>78</v>
      </c>
      <c r="G37" s="11"/>
      <c r="H37" s="11"/>
      <c r="I37" s="13"/>
      <c r="J37" s="11"/>
      <c r="K37" s="11"/>
      <c r="L37" s="11"/>
      <c r="M37" s="11"/>
      <c r="N37" s="11"/>
      <c r="O37" s="11"/>
      <c r="P37" s="11"/>
      <c r="Q37" s="11"/>
    </row>
    <row r="38" ht="16.5" spans="1:17">
      <c r="A38" s="11"/>
      <c r="B38" s="11" t="s">
        <v>79</v>
      </c>
      <c r="C38" s="11" t="s">
        <v>65</v>
      </c>
      <c r="D38" s="11">
        <f t="shared" si="0"/>
        <v>530</v>
      </c>
      <c r="E38" s="11"/>
      <c r="F38" s="11" t="s">
        <v>80</v>
      </c>
      <c r="G38" s="11"/>
      <c r="H38" s="11"/>
      <c r="I38" s="13"/>
      <c r="J38" s="11"/>
      <c r="K38" s="11"/>
      <c r="L38" s="11"/>
      <c r="M38" s="11"/>
      <c r="N38" s="11"/>
      <c r="O38" s="11"/>
      <c r="P38" s="11"/>
      <c r="Q38" s="11"/>
    </row>
    <row r="39" ht="16.5" spans="1:17">
      <c r="A39" s="11"/>
      <c r="B39" s="11" t="s">
        <v>81</v>
      </c>
      <c r="C39" s="11" t="s">
        <v>65</v>
      </c>
      <c r="D39" s="11">
        <f t="shared" si="0"/>
        <v>534</v>
      </c>
      <c r="E39" s="11"/>
      <c r="F39" s="11" t="s">
        <v>82</v>
      </c>
      <c r="G39" s="11"/>
      <c r="H39" s="11"/>
      <c r="I39" s="13"/>
      <c r="J39" s="11"/>
      <c r="K39" s="11"/>
      <c r="L39" s="11"/>
      <c r="M39" s="11"/>
      <c r="N39" s="11"/>
      <c r="O39" s="11"/>
      <c r="P39" s="11"/>
      <c r="Q39" s="11"/>
    </row>
    <row r="40" ht="16.5" spans="1:17">
      <c r="A40" s="11"/>
      <c r="B40" s="11" t="s">
        <v>83</v>
      </c>
      <c r="C40" s="11" t="s">
        <v>65</v>
      </c>
      <c r="D40" s="11">
        <f t="shared" si="0"/>
        <v>538</v>
      </c>
      <c r="E40" s="11"/>
      <c r="F40" s="11" t="s">
        <v>84</v>
      </c>
      <c r="G40" s="11"/>
      <c r="H40" s="11"/>
      <c r="I40" s="13"/>
      <c r="J40" s="11"/>
      <c r="K40" s="11"/>
      <c r="L40" s="11"/>
      <c r="M40" s="11"/>
      <c r="N40" s="11"/>
      <c r="O40" s="11"/>
      <c r="P40" s="11"/>
      <c r="Q40" s="11"/>
    </row>
    <row r="41" ht="16.5" spans="1:17">
      <c r="A41" s="11"/>
      <c r="B41" s="11" t="s">
        <v>85</v>
      </c>
      <c r="C41" s="11"/>
      <c r="D41" s="11">
        <f t="shared" si="0"/>
        <v>542</v>
      </c>
      <c r="E41" s="11"/>
      <c r="F41" s="11"/>
      <c r="G41" s="11"/>
      <c r="H41" s="11"/>
      <c r="I41" s="13"/>
      <c r="J41" s="11"/>
      <c r="K41" s="11"/>
      <c r="L41" s="11"/>
      <c r="M41" s="11"/>
      <c r="N41" s="11"/>
      <c r="O41" s="11"/>
      <c r="P41" s="11"/>
      <c r="Q41" s="11"/>
    </row>
    <row r="42" ht="16.5" spans="1:17">
      <c r="A42" s="6" t="s">
        <v>29</v>
      </c>
      <c r="B42" s="7"/>
      <c r="C42" s="7"/>
      <c r="D42" s="7"/>
      <c r="E42" s="7"/>
      <c r="F42" s="7"/>
      <c r="G42" s="7"/>
      <c r="H42" s="7"/>
      <c r="I42" s="12" t="s">
        <v>86</v>
      </c>
      <c r="J42" s="9" t="s">
        <v>31</v>
      </c>
      <c r="K42" s="7"/>
      <c r="L42" s="7"/>
      <c r="M42" s="7"/>
      <c r="N42" s="7"/>
      <c r="O42" s="7"/>
      <c r="P42" s="7"/>
      <c r="Q42" s="7"/>
    </row>
    <row r="43" ht="16.5" spans="1:17">
      <c r="A43" s="7"/>
      <c r="B43" s="7"/>
      <c r="C43" s="7"/>
      <c r="D43" s="7"/>
      <c r="E43" s="7"/>
      <c r="F43" s="7"/>
      <c r="G43" s="7"/>
      <c r="H43" s="7"/>
      <c r="I43" s="13"/>
      <c r="J43" s="7"/>
      <c r="K43" s="7"/>
      <c r="L43" s="7"/>
      <c r="M43" s="7"/>
      <c r="N43" s="7"/>
      <c r="O43" s="7"/>
      <c r="P43" s="7"/>
      <c r="Q43" s="7"/>
    </row>
    <row r="44" ht="16.5" spans="1:17">
      <c r="A44" s="11"/>
      <c r="B44" s="11" t="s">
        <v>37</v>
      </c>
      <c r="C44" s="11" t="s">
        <v>34</v>
      </c>
      <c r="D44" s="11">
        <f>D41+58</f>
        <v>600</v>
      </c>
      <c r="E44" s="11"/>
      <c r="F44" s="11" t="s">
        <v>38</v>
      </c>
      <c r="G44" s="11"/>
      <c r="H44" s="11"/>
      <c r="I44" s="13"/>
      <c r="J44" s="11"/>
      <c r="K44" s="11" t="s">
        <v>39</v>
      </c>
      <c r="L44" s="11" t="s">
        <v>34</v>
      </c>
      <c r="M44" s="11">
        <f>M32+96</f>
        <v>4600</v>
      </c>
      <c r="N44" s="11"/>
      <c r="O44" s="11" t="s">
        <v>40</v>
      </c>
      <c r="P44" s="11"/>
      <c r="Q44" s="11"/>
    </row>
    <row r="45" ht="16.5" spans="1:17">
      <c r="A45" s="11"/>
      <c r="B45" s="11" t="s">
        <v>41</v>
      </c>
      <c r="C45" s="11" t="s">
        <v>42</v>
      </c>
      <c r="D45" s="11">
        <f>D44+2</f>
        <v>602</v>
      </c>
      <c r="E45" s="11"/>
      <c r="F45" s="11" t="s">
        <v>43</v>
      </c>
      <c r="G45" s="11"/>
      <c r="H45" s="11"/>
      <c r="I45" s="13"/>
      <c r="J45" s="11"/>
      <c r="K45" s="11" t="s">
        <v>44</v>
      </c>
      <c r="L45" s="11" t="s">
        <v>45</v>
      </c>
      <c r="M45" s="11">
        <f>M44+2</f>
        <v>4602</v>
      </c>
      <c r="N45" s="11"/>
      <c r="O45" s="11" t="s">
        <v>46</v>
      </c>
      <c r="P45" s="11"/>
      <c r="Q45" s="11"/>
    </row>
    <row r="46" ht="16.5" spans="1:17">
      <c r="A46" s="11"/>
      <c r="B46" s="11" t="s">
        <v>87</v>
      </c>
      <c r="C46" s="11" t="s">
        <v>88</v>
      </c>
      <c r="D46" s="11">
        <f>D45+26</f>
        <v>628</v>
      </c>
      <c r="E46" s="11"/>
      <c r="F46" s="11" t="s">
        <v>89</v>
      </c>
      <c r="G46" s="11"/>
      <c r="H46" s="11"/>
      <c r="I46" s="13"/>
      <c r="J46" s="11"/>
      <c r="K46" s="11" t="s">
        <v>143</v>
      </c>
      <c r="L46" s="11"/>
      <c r="M46" s="11">
        <f>M45+2</f>
        <v>4604</v>
      </c>
      <c r="N46" s="11"/>
      <c r="O46" s="11"/>
      <c r="P46" s="11"/>
      <c r="Q46" s="11"/>
    </row>
    <row r="47" ht="16.5" spans="1:17">
      <c r="A47" s="11"/>
      <c r="B47" s="11" t="s">
        <v>90</v>
      </c>
      <c r="C47" s="11" t="s">
        <v>65</v>
      </c>
      <c r="D47" s="11">
        <f>D46+12</f>
        <v>640</v>
      </c>
      <c r="E47" s="11"/>
      <c r="F47" s="11" t="s">
        <v>91</v>
      </c>
      <c r="G47" s="11"/>
      <c r="H47" s="11"/>
      <c r="I47" s="13"/>
      <c r="J47" s="11"/>
      <c r="K47" s="11"/>
      <c r="L47" s="11"/>
      <c r="M47" s="11"/>
      <c r="N47" s="11"/>
      <c r="O47" s="11"/>
      <c r="P47" s="11"/>
      <c r="Q47" s="11"/>
    </row>
    <row r="48" ht="16.5" spans="1:17">
      <c r="A48" s="11"/>
      <c r="B48" s="11" t="s">
        <v>92</v>
      </c>
      <c r="C48" s="11" t="s">
        <v>65</v>
      </c>
      <c r="D48" s="11">
        <f t="shared" ref="D48:D57" si="1">D47+4</f>
        <v>644</v>
      </c>
      <c r="E48" s="11"/>
      <c r="F48" s="11" t="s">
        <v>93</v>
      </c>
      <c r="G48" s="11"/>
      <c r="H48" s="11"/>
      <c r="I48" s="13"/>
      <c r="J48" s="11"/>
      <c r="K48" s="11"/>
      <c r="L48" s="11"/>
      <c r="M48" s="11"/>
      <c r="N48" s="11"/>
      <c r="O48" s="11"/>
      <c r="P48" s="11"/>
      <c r="Q48" s="11"/>
    </row>
    <row r="49" ht="16.5" spans="1:17">
      <c r="A49" s="11"/>
      <c r="B49" s="11" t="s">
        <v>94</v>
      </c>
      <c r="C49" s="11" t="s">
        <v>65</v>
      </c>
      <c r="D49" s="11">
        <f t="shared" si="1"/>
        <v>648</v>
      </c>
      <c r="E49" s="11"/>
      <c r="F49" s="11" t="s">
        <v>95</v>
      </c>
      <c r="G49" s="11"/>
      <c r="H49" s="11"/>
      <c r="I49" s="13"/>
      <c r="J49" s="11"/>
      <c r="K49" s="11"/>
      <c r="L49" s="11"/>
      <c r="M49" s="11"/>
      <c r="N49" s="11"/>
      <c r="O49" s="11"/>
      <c r="P49" s="11"/>
      <c r="Q49" s="11"/>
    </row>
    <row r="50" ht="16.5" spans="1:17">
      <c r="A50" s="11"/>
      <c r="B50" s="11" t="s">
        <v>96</v>
      </c>
      <c r="C50" s="11" t="s">
        <v>65</v>
      </c>
      <c r="D50" s="11">
        <f t="shared" si="1"/>
        <v>652</v>
      </c>
      <c r="E50" s="11"/>
      <c r="F50" s="11" t="s">
        <v>97</v>
      </c>
      <c r="G50" s="11"/>
      <c r="H50" s="11"/>
      <c r="I50" s="13"/>
      <c r="J50" s="11"/>
      <c r="K50" s="11"/>
      <c r="L50" s="11"/>
      <c r="M50" s="11"/>
      <c r="N50" s="11"/>
      <c r="O50" s="11"/>
      <c r="P50" s="11"/>
      <c r="Q50" s="11"/>
    </row>
    <row r="51" ht="16.5" spans="1:17">
      <c r="A51" s="11"/>
      <c r="B51" s="11" t="s">
        <v>98</v>
      </c>
      <c r="C51" s="11" t="s">
        <v>65</v>
      </c>
      <c r="D51" s="11">
        <f t="shared" si="1"/>
        <v>656</v>
      </c>
      <c r="E51" s="11"/>
      <c r="F51" s="11" t="s">
        <v>99</v>
      </c>
      <c r="G51" s="11"/>
      <c r="H51" s="11"/>
      <c r="I51" s="13"/>
      <c r="J51" s="11"/>
      <c r="K51" s="11"/>
      <c r="L51" s="11"/>
      <c r="M51" s="11"/>
      <c r="N51" s="11"/>
      <c r="O51" s="11"/>
      <c r="P51" s="11"/>
      <c r="Q51" s="11"/>
    </row>
    <row r="52" ht="16.5" spans="1:17">
      <c r="A52" s="11"/>
      <c r="B52" s="11" t="s">
        <v>100</v>
      </c>
      <c r="C52" s="11" t="s">
        <v>65</v>
      </c>
      <c r="D52" s="11">
        <f t="shared" si="1"/>
        <v>660</v>
      </c>
      <c r="E52" s="11"/>
      <c r="F52" s="11" t="s">
        <v>101</v>
      </c>
      <c r="G52" s="11"/>
      <c r="H52" s="11"/>
      <c r="I52" s="13"/>
      <c r="J52" s="11"/>
      <c r="K52" s="11"/>
      <c r="L52" s="11"/>
      <c r="M52" s="11"/>
      <c r="N52" s="11"/>
      <c r="O52" s="11"/>
      <c r="P52" s="11"/>
      <c r="Q52" s="11"/>
    </row>
    <row r="53" ht="16.5" spans="1:17">
      <c r="A53" s="11"/>
      <c r="B53" s="11" t="s">
        <v>102</v>
      </c>
      <c r="C53" s="11" t="s">
        <v>65</v>
      </c>
      <c r="D53" s="11">
        <f t="shared" si="1"/>
        <v>664</v>
      </c>
      <c r="E53" s="11"/>
      <c r="F53" s="11" t="s">
        <v>103</v>
      </c>
      <c r="G53" s="11"/>
      <c r="H53" s="11"/>
      <c r="I53" s="13"/>
      <c r="J53" s="11"/>
      <c r="K53" s="11"/>
      <c r="L53" s="11"/>
      <c r="M53" s="11"/>
      <c r="N53" s="11"/>
      <c r="O53" s="11"/>
      <c r="P53" s="11"/>
      <c r="Q53" s="11"/>
    </row>
    <row r="54" ht="16.5" spans="1:17">
      <c r="A54" s="11"/>
      <c r="B54" s="11" t="s">
        <v>104</v>
      </c>
      <c r="C54" s="11" t="s">
        <v>65</v>
      </c>
      <c r="D54" s="11">
        <f t="shared" si="1"/>
        <v>668</v>
      </c>
      <c r="E54" s="11"/>
      <c r="F54" s="11" t="s">
        <v>105</v>
      </c>
      <c r="G54" s="11"/>
      <c r="H54" s="11"/>
      <c r="I54" s="13"/>
      <c r="J54" s="11"/>
      <c r="K54" s="11"/>
      <c r="L54" s="11"/>
      <c r="M54" s="11"/>
      <c r="N54" s="11"/>
      <c r="O54" s="11"/>
      <c r="P54" s="11"/>
      <c r="Q54" s="11"/>
    </row>
    <row r="55" ht="16.5" spans="1:17">
      <c r="A55" s="11"/>
      <c r="B55" s="11" t="s">
        <v>106</v>
      </c>
      <c r="C55" s="11" t="s">
        <v>65</v>
      </c>
      <c r="D55" s="11">
        <f t="shared" si="1"/>
        <v>672</v>
      </c>
      <c r="E55" s="11"/>
      <c r="F55" s="11" t="s">
        <v>107</v>
      </c>
      <c r="G55" s="11"/>
      <c r="H55" s="11"/>
      <c r="I55" s="13"/>
      <c r="J55" s="11"/>
      <c r="K55" s="11"/>
      <c r="L55" s="11"/>
      <c r="M55" s="11"/>
      <c r="N55" s="11"/>
      <c r="O55" s="11"/>
      <c r="P55" s="11"/>
      <c r="Q55" s="11"/>
    </row>
    <row r="56" ht="16.5" spans="1:17">
      <c r="A56" s="11"/>
      <c r="B56" s="11" t="s">
        <v>108</v>
      </c>
      <c r="C56" s="11" t="s">
        <v>65</v>
      </c>
      <c r="D56" s="11">
        <f t="shared" si="1"/>
        <v>676</v>
      </c>
      <c r="E56" s="11"/>
      <c r="F56" s="11" t="s">
        <v>109</v>
      </c>
      <c r="G56" s="11"/>
      <c r="H56" s="11"/>
      <c r="I56" s="13"/>
      <c r="J56" s="11"/>
      <c r="K56" s="11"/>
      <c r="L56" s="11"/>
      <c r="M56" s="11"/>
      <c r="N56" s="11"/>
      <c r="O56" s="11"/>
      <c r="P56" s="11"/>
      <c r="Q56" s="11"/>
    </row>
    <row r="57" ht="16.5" spans="1:17">
      <c r="A57" s="11"/>
      <c r="B57" s="11" t="s">
        <v>155</v>
      </c>
      <c r="C57" s="11" t="s">
        <v>156</v>
      </c>
      <c r="D57" s="11">
        <f t="shared" si="1"/>
        <v>680</v>
      </c>
      <c r="E57" s="11"/>
      <c r="F57" s="11" t="s">
        <v>157</v>
      </c>
      <c r="G57" s="11"/>
      <c r="H57" s="11"/>
      <c r="I57" s="13"/>
      <c r="J57" s="11"/>
      <c r="K57" s="11"/>
      <c r="L57" s="11"/>
      <c r="M57" s="11"/>
      <c r="N57" s="11"/>
      <c r="O57" s="11"/>
      <c r="P57" s="11"/>
      <c r="Q57" s="11"/>
    </row>
    <row r="58" ht="16.5" spans="1:17">
      <c r="A58" s="11"/>
      <c r="B58" s="11" t="s">
        <v>32</v>
      </c>
      <c r="C58" s="11"/>
      <c r="D58" s="11">
        <f>D57+14*30</f>
        <v>1100</v>
      </c>
      <c r="E58" s="11"/>
      <c r="F58" s="11"/>
      <c r="G58" s="11"/>
      <c r="H58" s="11"/>
      <c r="I58" s="13"/>
      <c r="J58" s="11"/>
      <c r="K58" s="11"/>
      <c r="L58" s="11"/>
      <c r="M58" s="11"/>
      <c r="N58" s="11"/>
      <c r="O58" s="11"/>
      <c r="P58" s="11"/>
      <c r="Q58" s="11"/>
    </row>
    <row r="59" ht="16.5" spans="1:17">
      <c r="A59" s="6" t="s">
        <v>29</v>
      </c>
      <c r="B59" s="7"/>
      <c r="C59" s="7"/>
      <c r="D59" s="7"/>
      <c r="E59" s="7"/>
      <c r="F59" s="7"/>
      <c r="G59" s="7"/>
      <c r="H59" s="7"/>
      <c r="I59" s="12" t="s">
        <v>158</v>
      </c>
      <c r="J59" s="9" t="s">
        <v>31</v>
      </c>
      <c r="K59" s="7"/>
      <c r="L59" s="7"/>
      <c r="M59" s="7"/>
      <c r="N59" s="7"/>
      <c r="O59" s="7"/>
      <c r="P59" s="7"/>
      <c r="Q59" s="7"/>
    </row>
    <row r="60" ht="16.5" spans="1:17">
      <c r="A60" s="7"/>
      <c r="B60" s="7"/>
      <c r="C60" s="7"/>
      <c r="D60" s="7"/>
      <c r="E60" s="7"/>
      <c r="F60" s="7"/>
      <c r="G60" s="7"/>
      <c r="H60" s="7"/>
      <c r="I60" s="13"/>
      <c r="J60" s="7"/>
      <c r="K60" s="7"/>
      <c r="L60" s="7"/>
      <c r="M60" s="7"/>
      <c r="N60" s="7"/>
      <c r="O60" s="7"/>
      <c r="P60" s="7"/>
      <c r="Q60" s="7"/>
    </row>
    <row r="61" ht="16.5" spans="1:17">
      <c r="A61" s="11"/>
      <c r="B61" s="11" t="s">
        <v>37</v>
      </c>
      <c r="C61" s="11" t="s">
        <v>34</v>
      </c>
      <c r="D61" s="11">
        <f>D58+100</f>
        <v>1200</v>
      </c>
      <c r="E61" s="11"/>
      <c r="F61" s="11" t="s">
        <v>38</v>
      </c>
      <c r="G61" s="11"/>
      <c r="H61" s="11"/>
      <c r="I61" s="13"/>
      <c r="J61" s="11"/>
      <c r="K61" s="11" t="s">
        <v>39</v>
      </c>
      <c r="L61" s="11" t="s">
        <v>34</v>
      </c>
      <c r="M61" s="11">
        <f>M46+196</f>
        <v>4800</v>
      </c>
      <c r="N61" s="11"/>
      <c r="O61" s="11" t="s">
        <v>40</v>
      </c>
      <c r="P61" s="11"/>
      <c r="Q61" s="11"/>
    </row>
    <row r="62" ht="16.5" spans="1:17">
      <c r="A62" s="11"/>
      <c r="B62" s="11" t="s">
        <v>41</v>
      </c>
      <c r="C62" s="11" t="s">
        <v>42</v>
      </c>
      <c r="D62" s="11">
        <f>D61+2</f>
        <v>1202</v>
      </c>
      <c r="E62" s="11"/>
      <c r="F62" s="11" t="s">
        <v>43</v>
      </c>
      <c r="G62" s="11"/>
      <c r="H62" s="11"/>
      <c r="I62" s="13"/>
      <c r="J62" s="11"/>
      <c r="K62" s="11" t="s">
        <v>44</v>
      </c>
      <c r="L62" s="11" t="s">
        <v>45</v>
      </c>
      <c r="M62" s="11">
        <f>M61+2</f>
        <v>4802</v>
      </c>
      <c r="N62" s="11"/>
      <c r="O62" s="11" t="s">
        <v>46</v>
      </c>
      <c r="P62" s="11"/>
      <c r="Q62" s="11"/>
    </row>
    <row r="63" ht="16.5" spans="1:17">
      <c r="A63" s="11"/>
      <c r="B63" s="11" t="s">
        <v>47</v>
      </c>
      <c r="C63" s="11"/>
      <c r="D63" s="11">
        <f>D62+26</f>
        <v>1228</v>
      </c>
      <c r="E63" s="11"/>
      <c r="F63" s="11"/>
      <c r="G63" s="11"/>
      <c r="H63" s="11"/>
      <c r="I63" s="13"/>
      <c r="J63" s="11"/>
      <c r="K63" s="11" t="s">
        <v>48</v>
      </c>
      <c r="L63" s="11"/>
      <c r="M63" s="11">
        <f>M62+2</f>
        <v>4804</v>
      </c>
      <c r="N63" s="11"/>
      <c r="O63" s="11"/>
      <c r="P63" s="11"/>
      <c r="Q63" s="11"/>
    </row>
    <row r="64" customFormat="1" customHeight="1" spans="1:17">
      <c r="A64" s="6" t="s">
        <v>29</v>
      </c>
      <c r="B64" s="7"/>
      <c r="C64" s="7"/>
      <c r="D64" s="7"/>
      <c r="E64" s="7"/>
      <c r="F64" s="7"/>
      <c r="G64" s="7"/>
      <c r="H64" s="7"/>
      <c r="I64" s="8" t="s">
        <v>111</v>
      </c>
      <c r="J64" s="9" t="s">
        <v>31</v>
      </c>
      <c r="K64" s="15"/>
      <c r="L64" s="15"/>
      <c r="M64" s="15"/>
      <c r="N64" s="15"/>
      <c r="O64" s="15"/>
      <c r="P64" s="15"/>
      <c r="Q64" s="15"/>
    </row>
    <row r="65" customFormat="1" customHeight="1" spans="1:17">
      <c r="A65" s="7"/>
      <c r="B65" s="7"/>
      <c r="C65" s="7"/>
      <c r="D65" s="7"/>
      <c r="E65" s="7"/>
      <c r="F65" s="7"/>
      <c r="G65" s="7"/>
      <c r="H65" s="7"/>
      <c r="I65" s="16"/>
      <c r="J65" s="15"/>
      <c r="K65" s="15"/>
      <c r="L65" s="15"/>
      <c r="M65" s="15"/>
      <c r="N65" s="15"/>
      <c r="O65" s="15"/>
      <c r="P65" s="15"/>
      <c r="Q65" s="15"/>
    </row>
    <row r="66" customFormat="1" customHeight="1" spans="1:17">
      <c r="B66" t="s">
        <v>37</v>
      </c>
      <c r="C66" t="s">
        <v>34</v>
      </c>
      <c r="D66">
        <f>D63+72</f>
        <v>1300</v>
      </c>
      <c r="F66" t="s">
        <v>38</v>
      </c>
      <c r="I66" s="16"/>
      <c r="K66" s="11" t="s">
        <v>39</v>
      </c>
      <c r="L66" s="11" t="s">
        <v>34</v>
      </c>
      <c r="M66" s="11">
        <f>M63+96</f>
        <v>4900</v>
      </c>
      <c r="N66" s="11"/>
      <c r="O66" s="11" t="s">
        <v>40</v>
      </c>
    </row>
    <row r="67" customFormat="1" customHeight="1" spans="1:17">
      <c r="B67" t="s">
        <v>112</v>
      </c>
      <c r="C67" t="s">
        <v>42</v>
      </c>
      <c r="D67">
        <f>D66+2</f>
        <v>1302</v>
      </c>
      <c r="F67" t="s">
        <v>113</v>
      </c>
      <c r="I67" s="16"/>
      <c r="K67" s="11" t="s">
        <v>44</v>
      </c>
      <c r="L67" s="11" t="s">
        <v>45</v>
      </c>
      <c r="M67" s="11">
        <f>M66+2</f>
        <v>4902</v>
      </c>
      <c r="N67" s="11"/>
      <c r="O67" s="11" t="s">
        <v>46</v>
      </c>
    </row>
    <row r="68" customFormat="1" customHeight="1" spans="1:17">
      <c r="B68" t="s">
        <v>114</v>
      </c>
      <c r="C68" t="s">
        <v>42</v>
      </c>
      <c r="D68">
        <f>D67+26</f>
        <v>1328</v>
      </c>
      <c r="F68" t="s">
        <v>115</v>
      </c>
      <c r="I68" s="16"/>
    </row>
    <row r="69" customFormat="1" customHeight="1" spans="1:17">
      <c r="B69" t="s">
        <v>116</v>
      </c>
      <c r="C69" t="s">
        <v>117</v>
      </c>
      <c r="D69">
        <f>D68+26</f>
        <v>1354</v>
      </c>
      <c r="F69" t="s">
        <v>118</v>
      </c>
      <c r="I69" s="17"/>
    </row>
  </sheetData>
  <mergeCells count="27">
    <mergeCell ref="I2:I4"/>
    <mergeCell ref="I5:I9"/>
    <mergeCell ref="I10:I15"/>
    <mergeCell ref="I16:I21"/>
    <mergeCell ref="I22:I27"/>
    <mergeCell ref="I28:I41"/>
    <mergeCell ref="I42:I58"/>
    <mergeCell ref="I59:I63"/>
    <mergeCell ref="I64:I69"/>
    <mergeCell ref="A2:H3"/>
    <mergeCell ref="J2:Q3"/>
    <mergeCell ref="A5:H6"/>
    <mergeCell ref="J5:Q6"/>
    <mergeCell ref="A10:H11"/>
    <mergeCell ref="J10:Q11"/>
    <mergeCell ref="A16:H17"/>
    <mergeCell ref="J16:Q17"/>
    <mergeCell ref="A22:H23"/>
    <mergeCell ref="J22:Q23"/>
    <mergeCell ref="A28:H29"/>
    <mergeCell ref="J28:Q29"/>
    <mergeCell ref="A42:H43"/>
    <mergeCell ref="J42:Q43"/>
    <mergeCell ref="A59:H60"/>
    <mergeCell ref="J59:Q60"/>
    <mergeCell ref="A64:H65"/>
    <mergeCell ref="J64:Q65"/>
  </mergeCells>
  <pageMargins left="0.7875" right="0.7875" top="0.7875" bottom="0.7875" header="0.39375" footer="0.39375"/>
  <pageSetup paperSize="9" fitToWidth="0" pageOrder="overThenDown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tabSelected="1" topLeftCell="F38" workbookViewId="0">
      <selection activeCell="M52" sqref="M52"/>
    </sheetView>
  </sheetViews>
  <sheetFormatPr defaultColWidth="13.6416666666667" defaultRowHeight="18" customHeight="1"/>
  <cols>
    <col min="1" max="1" width="10.7083333333333" customWidth="1"/>
    <col min="2" max="2" width="24.7083333333333" customWidth="1"/>
    <col min="3" max="3" width="47.7083333333333" customWidth="1"/>
    <col min="4" max="4" width="18.7083333333333" customWidth="1"/>
    <col min="5" max="5" width="6.70833333333333" customWidth="1"/>
    <col min="6" max="6" width="71.7083333333333" customWidth="1"/>
    <col min="7" max="8" width="10.7083333333333" customWidth="1"/>
    <col min="9" max="9" width="58.7083333333333" customWidth="1"/>
    <col min="10" max="10" width="10.7083333333333" customWidth="1"/>
    <col min="11" max="11" width="21.7083333333333" customWidth="1"/>
    <col min="12" max="12" width="31.7083333333333" customWidth="1"/>
    <col min="13" max="13" width="18.7083333333333" customWidth="1"/>
    <col min="14" max="14" width="6.70833333333333" customWidth="1"/>
    <col min="15" max="15" width="62.7083333333333" customWidth="1"/>
    <col min="16" max="17" width="10.7083333333333" customWidth="1"/>
  </cols>
  <sheetData>
    <row r="1" spans="1:17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4" t="s">
        <v>28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</row>
    <row r="2" ht="16.5" spans="1:17">
      <c r="A2" s="6" t="s">
        <v>29</v>
      </c>
      <c r="B2" s="7"/>
      <c r="C2" s="7"/>
      <c r="D2" s="7"/>
      <c r="E2" s="7"/>
      <c r="F2" s="7"/>
      <c r="G2" s="7"/>
      <c r="H2" s="7"/>
      <c r="I2" s="8" t="s">
        <v>30</v>
      </c>
      <c r="J2" s="9" t="s">
        <v>31</v>
      </c>
      <c r="K2" s="7"/>
      <c r="L2" s="7"/>
      <c r="M2" s="7"/>
      <c r="N2" s="7"/>
      <c r="O2" s="7"/>
      <c r="P2" s="7"/>
      <c r="Q2" s="7"/>
    </row>
    <row r="3" ht="16.5" spans="1:17">
      <c r="A3" s="7"/>
      <c r="B3" s="7"/>
      <c r="C3" s="7"/>
      <c r="D3" s="7"/>
      <c r="E3" s="7"/>
      <c r="F3" s="7"/>
      <c r="G3" s="7"/>
      <c r="H3" s="7"/>
      <c r="I3" s="10"/>
      <c r="J3" s="7"/>
      <c r="K3" s="7"/>
      <c r="L3" s="7"/>
      <c r="M3" s="7"/>
      <c r="N3" s="7"/>
      <c r="O3" s="7"/>
      <c r="P3" s="7"/>
      <c r="Q3" s="7"/>
    </row>
    <row r="4" ht="16.5" spans="1:17">
      <c r="A4" s="11"/>
      <c r="B4" s="11" t="s">
        <v>32</v>
      </c>
      <c r="C4" s="11"/>
      <c r="D4" s="11">
        <v>0</v>
      </c>
      <c r="E4" s="11"/>
      <c r="F4" s="11"/>
      <c r="G4" s="11"/>
      <c r="H4" s="11">
        <v>200</v>
      </c>
      <c r="I4" s="10"/>
      <c r="J4" s="11"/>
      <c r="K4" s="11" t="s">
        <v>33</v>
      </c>
      <c r="L4" s="11" t="s">
        <v>34</v>
      </c>
      <c r="M4" s="11">
        <v>4000</v>
      </c>
      <c r="N4" s="11"/>
      <c r="O4" s="11" t="s">
        <v>35</v>
      </c>
      <c r="P4" s="11"/>
      <c r="Q4" s="11">
        <v>200</v>
      </c>
    </row>
    <row r="5" ht="16.5" spans="1:17">
      <c r="A5" s="6" t="s">
        <v>29</v>
      </c>
      <c r="B5" s="7"/>
      <c r="C5" s="7"/>
      <c r="D5" s="7"/>
      <c r="E5" s="7"/>
      <c r="F5" s="7"/>
      <c r="G5" s="7"/>
      <c r="H5" s="7"/>
      <c r="I5" s="12" t="s">
        <v>36</v>
      </c>
      <c r="J5" s="9" t="s">
        <v>31</v>
      </c>
      <c r="K5" s="7"/>
      <c r="L5" s="7"/>
      <c r="M5" s="7"/>
      <c r="N5" s="7"/>
      <c r="O5" s="7"/>
      <c r="P5" s="7"/>
      <c r="Q5" s="7"/>
    </row>
    <row r="6" ht="16.5" spans="1:17">
      <c r="A6" s="7"/>
      <c r="B6" s="7"/>
      <c r="C6" s="7"/>
      <c r="D6" s="7"/>
      <c r="E6" s="7"/>
      <c r="F6" s="7"/>
      <c r="G6" s="7"/>
      <c r="H6" s="7"/>
      <c r="I6" s="13"/>
      <c r="J6" s="7"/>
      <c r="K6" s="7"/>
      <c r="L6" s="7"/>
      <c r="M6" s="7"/>
      <c r="N6" s="7"/>
      <c r="O6" s="7"/>
      <c r="P6" s="7"/>
      <c r="Q6" s="7"/>
    </row>
    <row r="7" ht="16.5" spans="1:17">
      <c r="A7" s="11"/>
      <c r="B7" s="11" t="s">
        <v>37</v>
      </c>
      <c r="C7" s="11" t="s">
        <v>34</v>
      </c>
      <c r="D7" s="11">
        <v>100</v>
      </c>
      <c r="E7" s="11"/>
      <c r="F7" s="11" t="s">
        <v>38</v>
      </c>
      <c r="G7" s="11"/>
      <c r="H7" s="11"/>
      <c r="I7" s="13"/>
      <c r="J7" s="11"/>
      <c r="K7" s="11" t="s">
        <v>39</v>
      </c>
      <c r="L7" s="11" t="s">
        <v>34</v>
      </c>
      <c r="M7" s="11">
        <f>M4+100</f>
        <v>4100</v>
      </c>
      <c r="N7" s="11">
        <v>0</v>
      </c>
      <c r="O7" s="11" t="s">
        <v>40</v>
      </c>
      <c r="P7" s="11"/>
      <c r="Q7" s="11"/>
    </row>
    <row r="8" ht="16.5" spans="1:17">
      <c r="A8" s="11"/>
      <c r="B8" s="11" t="s">
        <v>41</v>
      </c>
      <c r="C8" s="11" t="s">
        <v>42</v>
      </c>
      <c r="D8" s="11">
        <f>D7+2</f>
        <v>102</v>
      </c>
      <c r="E8" s="11"/>
      <c r="F8" s="11" t="s">
        <v>43</v>
      </c>
      <c r="G8" s="11"/>
      <c r="H8" s="11"/>
      <c r="I8" s="13"/>
      <c r="J8" s="11"/>
      <c r="K8" s="11" t="s">
        <v>44</v>
      </c>
      <c r="L8" s="11" t="s">
        <v>45</v>
      </c>
      <c r="M8" s="11">
        <f>M7+2</f>
        <v>4102</v>
      </c>
      <c r="N8" s="11"/>
      <c r="O8" s="11" t="s">
        <v>46</v>
      </c>
      <c r="P8" s="11"/>
      <c r="Q8" s="11"/>
    </row>
    <row r="9" ht="16.5" spans="1:17">
      <c r="A9" s="11"/>
      <c r="B9" s="11" t="s">
        <v>47</v>
      </c>
      <c r="C9" s="11"/>
      <c r="D9" s="11">
        <f>D8+26</f>
        <v>128</v>
      </c>
      <c r="E9" s="11"/>
      <c r="F9" s="11"/>
      <c r="G9" s="11"/>
      <c r="H9" s="11"/>
      <c r="I9" s="13"/>
      <c r="J9" s="11"/>
      <c r="K9" s="11" t="s">
        <v>48</v>
      </c>
      <c r="L9" s="11"/>
      <c r="M9" s="11">
        <f>M8+2</f>
        <v>4104</v>
      </c>
      <c r="N9" s="11"/>
      <c r="O9" s="11"/>
      <c r="P9" s="11"/>
      <c r="Q9" s="11"/>
    </row>
    <row r="10" ht="16.5" spans="1:17">
      <c r="A10" s="6" t="s">
        <v>29</v>
      </c>
      <c r="B10" s="7"/>
      <c r="C10" s="7"/>
      <c r="D10" s="7"/>
      <c r="E10" s="7"/>
      <c r="F10" s="7"/>
      <c r="G10" s="7"/>
      <c r="H10" s="7"/>
      <c r="I10" s="12" t="s">
        <v>49</v>
      </c>
      <c r="J10" s="9" t="s">
        <v>31</v>
      </c>
      <c r="K10" s="7"/>
      <c r="L10" s="7"/>
      <c r="M10" s="7"/>
      <c r="N10" s="7"/>
      <c r="O10" s="7"/>
      <c r="P10" s="7"/>
      <c r="Q10" s="7"/>
    </row>
    <row r="11" ht="16.5" spans="1:17">
      <c r="A11" s="7"/>
      <c r="B11" s="7"/>
      <c r="C11" s="7"/>
      <c r="D11" s="7"/>
      <c r="E11" s="7"/>
      <c r="F11" s="7"/>
      <c r="G11" s="7"/>
      <c r="H11" s="7"/>
      <c r="I11" s="13"/>
      <c r="J11" s="7"/>
      <c r="K11" s="7"/>
      <c r="L11" s="7"/>
      <c r="M11" s="7"/>
      <c r="N11" s="7"/>
      <c r="O11" s="7"/>
      <c r="P11" s="7"/>
      <c r="Q11" s="7"/>
    </row>
    <row r="12" ht="16.5" spans="1:17">
      <c r="A12" s="11"/>
      <c r="B12" s="11" t="s">
        <v>37</v>
      </c>
      <c r="C12" s="11" t="s">
        <v>34</v>
      </c>
      <c r="D12" s="11">
        <f>D9+72</f>
        <v>200</v>
      </c>
      <c r="E12" s="11"/>
      <c r="F12" s="11" t="s">
        <v>38</v>
      </c>
      <c r="G12" s="11"/>
      <c r="H12" s="11"/>
      <c r="I12" s="13"/>
      <c r="J12" s="11"/>
      <c r="K12" s="11" t="s">
        <v>39</v>
      </c>
      <c r="L12" s="11" t="s">
        <v>34</v>
      </c>
      <c r="M12" s="11">
        <f>M9+96</f>
        <v>4200</v>
      </c>
      <c r="N12" s="11"/>
      <c r="O12" s="11" t="s">
        <v>40</v>
      </c>
      <c r="P12" s="11"/>
      <c r="Q12" s="11"/>
    </row>
    <row r="13" ht="16.5" spans="1:17">
      <c r="A13" s="11"/>
      <c r="B13" s="11" t="s">
        <v>41</v>
      </c>
      <c r="C13" s="11" t="s">
        <v>42</v>
      </c>
      <c r="D13" s="11">
        <f>D12+2</f>
        <v>202</v>
      </c>
      <c r="E13" s="11"/>
      <c r="F13" s="11" t="s">
        <v>43</v>
      </c>
      <c r="G13" s="11"/>
      <c r="H13" s="11"/>
      <c r="I13" s="13"/>
      <c r="J13" s="11"/>
      <c r="K13" s="11" t="s">
        <v>44</v>
      </c>
      <c r="L13" s="11" t="s">
        <v>45</v>
      </c>
      <c r="M13" s="11">
        <f>M12+2</f>
        <v>4202</v>
      </c>
      <c r="N13" s="11"/>
      <c r="O13" s="11" t="s">
        <v>46</v>
      </c>
      <c r="P13" s="11"/>
      <c r="Q13" s="11"/>
    </row>
    <row r="14" ht="16.5" spans="1:17">
      <c r="A14" s="11"/>
      <c r="B14" s="11" t="s">
        <v>50</v>
      </c>
      <c r="C14" s="11" t="s">
        <v>42</v>
      </c>
      <c r="D14" s="11">
        <f>D13+26</f>
        <v>228</v>
      </c>
      <c r="E14" s="11"/>
      <c r="F14" s="11" t="s">
        <v>51</v>
      </c>
      <c r="G14" s="11"/>
      <c r="H14" s="11"/>
      <c r="I14" s="13"/>
      <c r="J14" s="11"/>
      <c r="K14" s="11" t="s">
        <v>48</v>
      </c>
      <c r="L14" s="11"/>
      <c r="M14" s="11">
        <f>M13+2</f>
        <v>4204</v>
      </c>
      <c r="N14" s="11"/>
      <c r="O14" s="11"/>
      <c r="P14" s="11"/>
      <c r="Q14" s="11"/>
    </row>
    <row r="15" ht="16.5" spans="1:17">
      <c r="A15" s="11"/>
      <c r="B15" s="11" t="s">
        <v>52</v>
      </c>
      <c r="C15" s="11"/>
      <c r="D15" s="11">
        <f>D14+26</f>
        <v>254</v>
      </c>
      <c r="E15" s="11"/>
      <c r="F15" s="11"/>
      <c r="G15" s="11"/>
      <c r="H15" s="11"/>
      <c r="I15" s="13"/>
      <c r="J15" s="11"/>
      <c r="K15" s="11"/>
      <c r="L15" s="11"/>
      <c r="M15" s="11"/>
      <c r="N15" s="11"/>
      <c r="O15" s="11"/>
      <c r="P15" s="11"/>
      <c r="Q15" s="11"/>
    </row>
    <row r="16" ht="16.5" spans="1:17">
      <c r="A16" s="6" t="s">
        <v>29</v>
      </c>
      <c r="B16" s="7"/>
      <c r="C16" s="7"/>
      <c r="D16" s="7"/>
      <c r="E16" s="7"/>
      <c r="F16" s="7"/>
      <c r="G16" s="7"/>
      <c r="H16" s="7"/>
      <c r="I16" s="12" t="s">
        <v>53</v>
      </c>
      <c r="J16" s="9" t="s">
        <v>31</v>
      </c>
      <c r="K16" s="7"/>
      <c r="L16" s="7"/>
      <c r="M16" s="7"/>
      <c r="N16" s="7"/>
      <c r="O16" s="7"/>
      <c r="P16" s="7"/>
      <c r="Q16" s="7"/>
    </row>
    <row r="17" ht="16.5" spans="1:17">
      <c r="A17" s="7"/>
      <c r="B17" s="7"/>
      <c r="C17" s="7"/>
      <c r="D17" s="7"/>
      <c r="E17" s="7"/>
      <c r="F17" s="7"/>
      <c r="G17" s="7"/>
      <c r="H17" s="7"/>
      <c r="I17" s="13"/>
      <c r="J17" s="7"/>
      <c r="K17" s="7"/>
      <c r="L17" s="7"/>
      <c r="M17" s="7"/>
      <c r="N17" s="7"/>
      <c r="O17" s="7"/>
      <c r="P17" s="7"/>
      <c r="Q17" s="7"/>
    </row>
    <row r="18" ht="16.5" spans="1:17">
      <c r="A18" s="11"/>
      <c r="B18" s="11" t="s">
        <v>37</v>
      </c>
      <c r="C18" s="11" t="s">
        <v>34</v>
      </c>
      <c r="D18" s="11">
        <f>D15+46</f>
        <v>300</v>
      </c>
      <c r="E18" s="11"/>
      <c r="F18" s="11" t="s">
        <v>38</v>
      </c>
      <c r="G18" s="11"/>
      <c r="H18" s="11"/>
      <c r="I18" s="13"/>
      <c r="J18" s="11"/>
      <c r="K18" s="11" t="s">
        <v>39</v>
      </c>
      <c r="L18" s="11" t="s">
        <v>34</v>
      </c>
      <c r="M18" s="11">
        <f>M14+96</f>
        <v>4300</v>
      </c>
      <c r="N18" s="11"/>
      <c r="O18" s="11" t="s">
        <v>40</v>
      </c>
      <c r="P18" s="11"/>
      <c r="Q18" s="11"/>
    </row>
    <row r="19" ht="16.5" spans="1:17">
      <c r="A19" s="11"/>
      <c r="B19" s="11" t="s">
        <v>41</v>
      </c>
      <c r="C19" s="11" t="s">
        <v>42</v>
      </c>
      <c r="D19" s="11">
        <f>D18+2</f>
        <v>302</v>
      </c>
      <c r="E19" s="11"/>
      <c r="F19" s="11" t="s">
        <v>54</v>
      </c>
      <c r="G19" s="11"/>
      <c r="H19" s="11"/>
      <c r="I19" s="13"/>
      <c r="J19" s="11"/>
      <c r="K19" s="11" t="s">
        <v>44</v>
      </c>
      <c r="L19" s="11" t="s">
        <v>45</v>
      </c>
      <c r="M19" s="11">
        <f>M18+2</f>
        <v>4302</v>
      </c>
      <c r="N19" s="11"/>
      <c r="O19" s="11" t="s">
        <v>46</v>
      </c>
      <c r="P19" s="11"/>
      <c r="Q19" s="11"/>
    </row>
    <row r="20" ht="16.5" spans="1:17">
      <c r="A20" s="11"/>
      <c r="B20" s="11" t="s">
        <v>55</v>
      </c>
      <c r="C20" s="11" t="s">
        <v>42</v>
      </c>
      <c r="D20" s="11">
        <f>D19+26</f>
        <v>328</v>
      </c>
      <c r="E20" s="11"/>
      <c r="F20" s="11" t="s">
        <v>56</v>
      </c>
      <c r="G20" s="11"/>
      <c r="H20" s="11"/>
      <c r="I20" s="13"/>
      <c r="J20" s="11"/>
      <c r="K20" s="11" t="s">
        <v>48</v>
      </c>
      <c r="L20" s="11"/>
      <c r="M20" s="11">
        <f>M19+2</f>
        <v>4304</v>
      </c>
      <c r="N20" s="11"/>
      <c r="O20" s="11"/>
      <c r="P20" s="11"/>
      <c r="Q20" s="11"/>
    </row>
    <row r="21" ht="16.5" spans="1:17">
      <c r="A21" s="11"/>
      <c r="B21" s="11" t="s">
        <v>52</v>
      </c>
      <c r="C21" s="11"/>
      <c r="D21" s="11">
        <f>D20+26</f>
        <v>354</v>
      </c>
      <c r="E21" s="11"/>
      <c r="F21" s="11"/>
      <c r="G21" s="11"/>
      <c r="H21" s="11"/>
      <c r="I21" s="13"/>
      <c r="J21" s="11"/>
      <c r="K21" s="11"/>
      <c r="L21" s="11"/>
      <c r="M21" s="11"/>
      <c r="N21" s="11"/>
      <c r="O21" s="11"/>
      <c r="P21" s="11"/>
      <c r="Q21" s="11"/>
    </row>
    <row r="22" ht="16.5" spans="1:17">
      <c r="A22" s="6" t="s">
        <v>29</v>
      </c>
      <c r="B22" s="7"/>
      <c r="C22" s="7"/>
      <c r="D22" s="7"/>
      <c r="E22" s="7"/>
      <c r="F22" s="7"/>
      <c r="G22" s="7"/>
      <c r="H22" s="7"/>
      <c r="I22" s="12" t="s">
        <v>57</v>
      </c>
      <c r="J22" s="9" t="s">
        <v>31</v>
      </c>
      <c r="K22" s="7"/>
      <c r="L22" s="7"/>
      <c r="M22" s="7"/>
      <c r="N22" s="7"/>
      <c r="O22" s="7"/>
      <c r="P22" s="7"/>
      <c r="Q22" s="7"/>
    </row>
    <row r="23" ht="16.5" spans="1:17">
      <c r="A23" s="7"/>
      <c r="B23" s="7"/>
      <c r="C23" s="7"/>
      <c r="D23" s="7"/>
      <c r="E23" s="7"/>
      <c r="F23" s="7"/>
      <c r="G23" s="7"/>
      <c r="H23" s="7"/>
      <c r="I23" s="13"/>
      <c r="J23" s="7"/>
      <c r="K23" s="7"/>
      <c r="L23" s="7"/>
      <c r="M23" s="7"/>
      <c r="N23" s="7"/>
      <c r="O23" s="7"/>
      <c r="P23" s="7"/>
      <c r="Q23" s="7"/>
    </row>
    <row r="24" ht="16.5" spans="1:17">
      <c r="A24" s="11"/>
      <c r="B24" s="11" t="s">
        <v>37</v>
      </c>
      <c r="C24" s="11" t="s">
        <v>34</v>
      </c>
      <c r="D24" s="11">
        <f>D21+46</f>
        <v>400</v>
      </c>
      <c r="E24" s="11"/>
      <c r="F24" s="11" t="s">
        <v>38</v>
      </c>
      <c r="G24" s="11"/>
      <c r="H24" s="11"/>
      <c r="I24" s="13"/>
      <c r="J24" s="11"/>
      <c r="K24" s="11" t="s">
        <v>39</v>
      </c>
      <c r="L24" s="11" t="s">
        <v>34</v>
      </c>
      <c r="M24" s="11">
        <f>M20+96</f>
        <v>4400</v>
      </c>
      <c r="N24" s="11"/>
      <c r="O24" s="11" t="s">
        <v>40</v>
      </c>
      <c r="P24" s="11"/>
      <c r="Q24" s="11"/>
    </row>
    <row r="25" ht="16.5" spans="1:17">
      <c r="A25" s="11"/>
      <c r="B25" s="11" t="s">
        <v>58</v>
      </c>
      <c r="C25" s="11"/>
      <c r="D25" s="11">
        <f>D24+2</f>
        <v>402</v>
      </c>
      <c r="E25" s="11"/>
      <c r="F25" s="11"/>
      <c r="G25" s="11"/>
      <c r="H25" s="11"/>
      <c r="I25" s="13"/>
      <c r="J25" s="11"/>
      <c r="K25" s="11" t="s">
        <v>44</v>
      </c>
      <c r="L25" s="11" t="s">
        <v>45</v>
      </c>
      <c r="M25" s="11">
        <f>M24+2</f>
        <v>4402</v>
      </c>
      <c r="N25" s="11"/>
      <c r="O25" s="11" t="s">
        <v>46</v>
      </c>
      <c r="P25" s="11"/>
      <c r="Q25" s="11"/>
    </row>
    <row r="26" ht="16.5" spans="1:17">
      <c r="A26" s="11"/>
      <c r="B26" s="11"/>
      <c r="C26" s="11"/>
      <c r="D26" s="11"/>
      <c r="E26" s="11"/>
      <c r="F26" s="11"/>
      <c r="G26" s="11"/>
      <c r="H26" s="11"/>
      <c r="I26" s="13"/>
      <c r="J26" s="11"/>
      <c r="K26" s="11" t="s">
        <v>50</v>
      </c>
      <c r="L26" s="11" t="s">
        <v>42</v>
      </c>
      <c r="M26" s="11">
        <f>M25+2</f>
        <v>4404</v>
      </c>
      <c r="N26" s="11"/>
      <c r="O26" s="11" t="s">
        <v>60</v>
      </c>
      <c r="P26" s="11"/>
      <c r="Q26" s="11"/>
    </row>
    <row r="27" ht="16.5" spans="1:17">
      <c r="A27" s="11"/>
      <c r="B27" s="11"/>
      <c r="C27" s="11"/>
      <c r="D27" s="11"/>
      <c r="E27" s="11"/>
      <c r="F27" s="11"/>
      <c r="G27" s="11"/>
      <c r="H27" s="11"/>
      <c r="I27" s="13"/>
      <c r="J27" s="11"/>
      <c r="K27" s="11" t="s">
        <v>119</v>
      </c>
      <c r="L27" s="11"/>
      <c r="M27" s="11">
        <f>M26+26</f>
        <v>4430</v>
      </c>
      <c r="N27" s="11"/>
      <c r="O27" s="11"/>
      <c r="P27" s="11"/>
      <c r="Q27" s="11"/>
    </row>
    <row r="28" ht="16.5" spans="1:17">
      <c r="A28" s="6" t="s">
        <v>29</v>
      </c>
      <c r="B28" s="7"/>
      <c r="C28" s="7"/>
      <c r="D28" s="7"/>
      <c r="E28" s="7"/>
      <c r="F28" s="7"/>
      <c r="G28" s="7"/>
      <c r="H28" s="7"/>
      <c r="I28" s="14" t="s">
        <v>63</v>
      </c>
      <c r="J28" s="9" t="s">
        <v>31</v>
      </c>
      <c r="K28" s="7"/>
      <c r="L28" s="7"/>
      <c r="M28" s="7"/>
      <c r="N28" s="7"/>
      <c r="O28" s="7"/>
      <c r="P28" s="7"/>
      <c r="Q28" s="7"/>
    </row>
    <row r="29" ht="16.5" spans="1:17">
      <c r="A29" s="7"/>
      <c r="B29" s="7"/>
      <c r="C29" s="7"/>
      <c r="D29" s="7"/>
      <c r="E29" s="7"/>
      <c r="F29" s="7"/>
      <c r="G29" s="7"/>
      <c r="H29" s="7"/>
      <c r="I29" s="13"/>
      <c r="J29" s="7"/>
      <c r="K29" s="7"/>
      <c r="L29" s="7"/>
      <c r="M29" s="7"/>
      <c r="N29" s="7"/>
      <c r="O29" s="7"/>
      <c r="P29" s="7"/>
      <c r="Q29" s="7"/>
    </row>
    <row r="30" ht="16.5" spans="1:17">
      <c r="A30" s="11"/>
      <c r="B30" s="11" t="s">
        <v>37</v>
      </c>
      <c r="C30" s="11" t="s">
        <v>34</v>
      </c>
      <c r="D30" s="11">
        <f>D25+98</f>
        <v>500</v>
      </c>
      <c r="E30" s="11"/>
      <c r="F30" s="11" t="s">
        <v>38</v>
      </c>
      <c r="G30" s="11"/>
      <c r="H30" s="11"/>
      <c r="I30" s="13"/>
      <c r="J30" s="11"/>
      <c r="K30" s="11" t="s">
        <v>39</v>
      </c>
      <c r="L30" s="11" t="s">
        <v>34</v>
      </c>
      <c r="M30" s="11">
        <f>M27+70</f>
        <v>4500</v>
      </c>
      <c r="N30" s="11"/>
      <c r="O30" s="11" t="s">
        <v>40</v>
      </c>
      <c r="P30" s="11"/>
      <c r="Q30" s="11"/>
    </row>
    <row r="31" ht="16.5" spans="1:17">
      <c r="A31" s="11"/>
      <c r="B31" s="11" t="s">
        <v>64</v>
      </c>
      <c r="C31" s="11" t="s">
        <v>65</v>
      </c>
      <c r="D31" s="11">
        <f>D30+2</f>
        <v>502</v>
      </c>
      <c r="E31" s="11"/>
      <c r="F31" s="11" t="s">
        <v>66</v>
      </c>
      <c r="G31" s="11"/>
      <c r="H31" s="11"/>
      <c r="I31" s="13"/>
      <c r="J31" s="11"/>
      <c r="K31" s="11" t="s">
        <v>44</v>
      </c>
      <c r="L31" s="11" t="s">
        <v>45</v>
      </c>
      <c r="M31" s="11">
        <f>M30+2</f>
        <v>4502</v>
      </c>
      <c r="N31" s="11"/>
      <c r="O31" s="11" t="s">
        <v>46</v>
      </c>
      <c r="P31" s="11"/>
      <c r="Q31" s="11"/>
    </row>
    <row r="32" ht="16.5" spans="1:17">
      <c r="A32" s="11"/>
      <c r="B32" s="11" t="s">
        <v>67</v>
      </c>
      <c r="C32" s="11" t="s">
        <v>65</v>
      </c>
      <c r="D32" s="11">
        <f t="shared" ref="D32:D41" si="0">D31+4</f>
        <v>506</v>
      </c>
      <c r="E32" s="11"/>
      <c r="F32" s="11" t="s">
        <v>68</v>
      </c>
      <c r="G32" s="11"/>
      <c r="H32" s="11"/>
      <c r="I32" s="13"/>
      <c r="J32" s="11"/>
      <c r="K32" s="11" t="s">
        <v>48</v>
      </c>
      <c r="L32" s="11"/>
      <c r="M32" s="11">
        <f>M31+2</f>
        <v>4504</v>
      </c>
      <c r="N32" s="11"/>
      <c r="O32" s="11"/>
      <c r="P32" s="11"/>
      <c r="Q32" s="11"/>
    </row>
    <row r="33" ht="16.5" spans="1:17">
      <c r="A33" s="11"/>
      <c r="B33" s="11" t="s">
        <v>69</v>
      </c>
      <c r="C33" s="11" t="s">
        <v>65</v>
      </c>
      <c r="D33" s="11">
        <f t="shared" si="0"/>
        <v>510</v>
      </c>
      <c r="E33" s="11"/>
      <c r="F33" s="11" t="s">
        <v>70</v>
      </c>
      <c r="G33" s="11"/>
      <c r="H33" s="11"/>
      <c r="I33" s="13"/>
      <c r="J33" s="11"/>
      <c r="K33" s="11"/>
      <c r="L33" s="11"/>
      <c r="M33" s="11"/>
      <c r="N33" s="11"/>
      <c r="O33" s="11"/>
      <c r="P33" s="11"/>
      <c r="Q33" s="11"/>
    </row>
    <row r="34" ht="16.5" spans="1:17">
      <c r="A34" s="11"/>
      <c r="B34" s="11" t="s">
        <v>71</v>
      </c>
      <c r="C34" s="11" t="s">
        <v>65</v>
      </c>
      <c r="D34" s="11">
        <f t="shared" si="0"/>
        <v>514</v>
      </c>
      <c r="E34" s="11"/>
      <c r="F34" s="11" t="s">
        <v>72</v>
      </c>
      <c r="G34" s="11"/>
      <c r="H34" s="11"/>
      <c r="I34" s="13"/>
      <c r="J34" s="11"/>
      <c r="K34" s="11"/>
      <c r="L34" s="11"/>
      <c r="M34" s="11"/>
      <c r="N34" s="11"/>
      <c r="O34" s="11"/>
      <c r="P34" s="11"/>
      <c r="Q34" s="11"/>
    </row>
    <row r="35" ht="16.5" spans="1:17">
      <c r="A35" s="11"/>
      <c r="B35" s="11" t="s">
        <v>73</v>
      </c>
      <c r="C35" s="11" t="s">
        <v>65</v>
      </c>
      <c r="D35" s="11">
        <f t="shared" si="0"/>
        <v>518</v>
      </c>
      <c r="E35" s="11"/>
      <c r="F35" s="11" t="s">
        <v>74</v>
      </c>
      <c r="G35" s="11"/>
      <c r="H35" s="11"/>
      <c r="I35" s="13"/>
      <c r="J35" s="11"/>
      <c r="K35" s="11"/>
      <c r="L35" s="11"/>
      <c r="M35" s="11"/>
      <c r="N35" s="11"/>
      <c r="O35" s="11"/>
      <c r="P35" s="11"/>
      <c r="Q35" s="11"/>
    </row>
    <row r="36" ht="16.5" spans="1:17">
      <c r="A36" s="11"/>
      <c r="B36" s="11" t="s">
        <v>75</v>
      </c>
      <c r="C36" s="11" t="s">
        <v>65</v>
      </c>
      <c r="D36" s="11">
        <f t="shared" si="0"/>
        <v>522</v>
      </c>
      <c r="E36" s="11"/>
      <c r="F36" s="11" t="s">
        <v>76</v>
      </c>
      <c r="G36" s="11"/>
      <c r="H36" s="11"/>
      <c r="I36" s="13"/>
      <c r="J36" s="11"/>
      <c r="K36" s="11"/>
      <c r="L36" s="11"/>
      <c r="M36" s="11"/>
      <c r="N36" s="11"/>
      <c r="O36" s="11"/>
      <c r="P36" s="11"/>
      <c r="Q36" s="11"/>
    </row>
    <row r="37" ht="16.5" spans="1:17">
      <c r="A37" s="11"/>
      <c r="B37" s="11" t="s">
        <v>77</v>
      </c>
      <c r="C37" s="11" t="s">
        <v>65</v>
      </c>
      <c r="D37" s="11">
        <f t="shared" si="0"/>
        <v>526</v>
      </c>
      <c r="E37" s="11"/>
      <c r="F37" s="11" t="s">
        <v>78</v>
      </c>
      <c r="G37" s="11"/>
      <c r="H37" s="11"/>
      <c r="I37" s="13"/>
      <c r="J37" s="11"/>
      <c r="K37" s="11"/>
      <c r="L37" s="11"/>
      <c r="M37" s="11"/>
      <c r="N37" s="11"/>
      <c r="O37" s="11"/>
      <c r="P37" s="11"/>
      <c r="Q37" s="11"/>
    </row>
    <row r="38" ht="16.5" spans="1:17">
      <c r="A38" s="11"/>
      <c r="B38" s="11" t="s">
        <v>79</v>
      </c>
      <c r="C38" s="11" t="s">
        <v>65</v>
      </c>
      <c r="D38" s="11">
        <f t="shared" si="0"/>
        <v>530</v>
      </c>
      <c r="E38" s="11"/>
      <c r="F38" s="11" t="s">
        <v>80</v>
      </c>
      <c r="G38" s="11"/>
      <c r="H38" s="11"/>
      <c r="I38" s="13"/>
      <c r="J38" s="11"/>
      <c r="K38" s="11"/>
      <c r="L38" s="11"/>
      <c r="M38" s="11"/>
      <c r="N38" s="11"/>
      <c r="O38" s="11"/>
      <c r="P38" s="11"/>
      <c r="Q38" s="11"/>
    </row>
    <row r="39" ht="16.5" spans="1:17">
      <c r="A39" s="11"/>
      <c r="B39" s="11" t="s">
        <v>81</v>
      </c>
      <c r="C39" s="11" t="s">
        <v>65</v>
      </c>
      <c r="D39" s="11">
        <f t="shared" si="0"/>
        <v>534</v>
      </c>
      <c r="E39" s="11"/>
      <c r="F39" s="11" t="s">
        <v>82</v>
      </c>
      <c r="G39" s="11"/>
      <c r="H39" s="11"/>
      <c r="I39" s="13"/>
      <c r="J39" s="11"/>
      <c r="K39" s="11"/>
      <c r="L39" s="11"/>
      <c r="M39" s="11"/>
      <c r="N39" s="11"/>
      <c r="O39" s="11"/>
      <c r="P39" s="11"/>
      <c r="Q39" s="11"/>
    </row>
    <row r="40" ht="16.5" spans="1:17">
      <c r="A40" s="11"/>
      <c r="B40" s="11" t="s">
        <v>83</v>
      </c>
      <c r="C40" s="11" t="s">
        <v>65</v>
      </c>
      <c r="D40" s="11">
        <f t="shared" si="0"/>
        <v>538</v>
      </c>
      <c r="E40" s="11"/>
      <c r="F40" s="11" t="s">
        <v>84</v>
      </c>
      <c r="G40" s="11"/>
      <c r="H40" s="11"/>
      <c r="I40" s="13"/>
      <c r="J40" s="11"/>
      <c r="K40" s="11"/>
      <c r="L40" s="11"/>
      <c r="M40" s="11"/>
      <c r="N40" s="11"/>
      <c r="O40" s="11"/>
      <c r="P40" s="11"/>
      <c r="Q40" s="11"/>
    </row>
    <row r="41" ht="16.5" spans="1:17">
      <c r="A41" s="11"/>
      <c r="B41" s="11" t="s">
        <v>85</v>
      </c>
      <c r="C41" s="11"/>
      <c r="D41" s="11">
        <f t="shared" si="0"/>
        <v>542</v>
      </c>
      <c r="E41" s="11"/>
      <c r="F41" s="11"/>
      <c r="G41" s="11"/>
      <c r="H41" s="11"/>
      <c r="I41" s="13"/>
      <c r="J41" s="11"/>
      <c r="K41" s="11"/>
      <c r="L41" s="11"/>
      <c r="M41" s="11"/>
      <c r="N41" s="11"/>
      <c r="O41" s="11"/>
      <c r="P41" s="11"/>
      <c r="Q41" s="11"/>
    </row>
    <row r="42" ht="16.5" spans="1:17">
      <c r="A42" s="6" t="s">
        <v>29</v>
      </c>
      <c r="B42" s="7"/>
      <c r="C42" s="7"/>
      <c r="D42" s="7"/>
      <c r="E42" s="7"/>
      <c r="F42" s="7"/>
      <c r="G42" s="7"/>
      <c r="H42" s="7"/>
      <c r="I42" s="12" t="s">
        <v>86</v>
      </c>
      <c r="J42" s="9" t="s">
        <v>31</v>
      </c>
      <c r="K42" s="7"/>
      <c r="L42" s="7"/>
      <c r="M42" s="7"/>
      <c r="N42" s="7"/>
      <c r="O42" s="7"/>
      <c r="P42" s="7"/>
      <c r="Q42" s="7"/>
    </row>
    <row r="43" ht="16.5" spans="1:17">
      <c r="A43" s="7"/>
      <c r="B43" s="7"/>
      <c r="C43" s="7"/>
      <c r="D43" s="7"/>
      <c r="E43" s="7"/>
      <c r="F43" s="7"/>
      <c r="G43" s="7"/>
      <c r="H43" s="7"/>
      <c r="I43" s="13"/>
      <c r="J43" s="7"/>
      <c r="K43" s="7"/>
      <c r="L43" s="7"/>
      <c r="M43" s="7"/>
      <c r="N43" s="7"/>
      <c r="O43" s="7"/>
      <c r="P43" s="7"/>
      <c r="Q43" s="7"/>
    </row>
    <row r="44" ht="16.5" spans="1:17">
      <c r="A44" s="11"/>
      <c r="B44" s="11" t="s">
        <v>37</v>
      </c>
      <c r="C44" s="11" t="s">
        <v>34</v>
      </c>
      <c r="D44" s="11">
        <f>D41+58</f>
        <v>600</v>
      </c>
      <c r="E44" s="11"/>
      <c r="F44" s="11" t="s">
        <v>38</v>
      </c>
      <c r="G44" s="11"/>
      <c r="H44" s="11"/>
      <c r="I44" s="13"/>
      <c r="J44" s="11"/>
      <c r="K44" s="11" t="s">
        <v>39</v>
      </c>
      <c r="L44" s="11" t="s">
        <v>34</v>
      </c>
      <c r="M44" s="11">
        <f>M32+96</f>
        <v>4600</v>
      </c>
      <c r="N44" s="11"/>
      <c r="O44" s="11" t="s">
        <v>40</v>
      </c>
      <c r="P44" s="11"/>
      <c r="Q44" s="11"/>
    </row>
    <row r="45" ht="16.5" spans="1:17">
      <c r="A45" s="11"/>
      <c r="B45" s="11" t="s">
        <v>41</v>
      </c>
      <c r="C45" s="11" t="s">
        <v>42</v>
      </c>
      <c r="D45" s="11">
        <f>D44+2</f>
        <v>602</v>
      </c>
      <c r="E45" s="11"/>
      <c r="F45" s="11" t="s">
        <v>43</v>
      </c>
      <c r="G45" s="11"/>
      <c r="H45" s="11"/>
      <c r="I45" s="13"/>
      <c r="J45" s="11"/>
      <c r="K45" s="11" t="s">
        <v>44</v>
      </c>
      <c r="L45" s="11" t="s">
        <v>45</v>
      </c>
      <c r="M45" s="11">
        <f>M44+2</f>
        <v>4602</v>
      </c>
      <c r="N45" s="11"/>
      <c r="O45" s="11" t="s">
        <v>46</v>
      </c>
      <c r="P45" s="11"/>
      <c r="Q45" s="11"/>
    </row>
    <row r="46" ht="16.5" spans="1:17">
      <c r="A46" s="11"/>
      <c r="B46" s="11" t="s">
        <v>155</v>
      </c>
      <c r="C46" s="11" t="s">
        <v>159</v>
      </c>
      <c r="D46" s="11">
        <f>D45+26</f>
        <v>628</v>
      </c>
      <c r="E46" s="11"/>
      <c r="F46" s="11" t="s">
        <v>160</v>
      </c>
      <c r="G46" s="11"/>
      <c r="H46" s="11"/>
      <c r="I46" s="13"/>
      <c r="J46" s="11"/>
      <c r="K46" s="11" t="s">
        <v>48</v>
      </c>
      <c r="L46" s="11"/>
      <c r="M46" s="11">
        <f>M45+2</f>
        <v>4604</v>
      </c>
      <c r="N46" s="11"/>
      <c r="O46" s="11"/>
      <c r="P46" s="11"/>
      <c r="Q46" s="11"/>
    </row>
    <row r="47" ht="16.5" spans="1:17">
      <c r="A47" s="11"/>
      <c r="B47" s="11" t="s">
        <v>47</v>
      </c>
      <c r="C47" s="11"/>
      <c r="D47" s="11">
        <f>D46+150*16</f>
        <v>3028</v>
      </c>
      <c r="E47" s="11"/>
      <c r="F47" s="11"/>
      <c r="G47" s="11"/>
      <c r="H47" s="11"/>
      <c r="I47" s="13"/>
      <c r="J47" s="11"/>
      <c r="K47" s="11"/>
      <c r="L47" s="11"/>
      <c r="M47" s="11"/>
      <c r="N47" s="11"/>
      <c r="O47" s="11"/>
      <c r="P47" s="11"/>
      <c r="Q47" s="11"/>
    </row>
    <row r="48" customFormat="1" customHeight="1" spans="1:17">
      <c r="A48" s="6" t="s">
        <v>29</v>
      </c>
      <c r="B48" s="7"/>
      <c r="C48" s="7"/>
      <c r="D48" s="7"/>
      <c r="E48" s="7"/>
      <c r="F48" s="7"/>
      <c r="G48" s="7"/>
      <c r="H48" s="7"/>
      <c r="I48" s="8" t="s">
        <v>111</v>
      </c>
      <c r="J48" s="9" t="s">
        <v>31</v>
      </c>
      <c r="K48" s="15"/>
      <c r="L48" s="15"/>
      <c r="M48" s="15"/>
      <c r="N48" s="15"/>
      <c r="O48" s="15"/>
      <c r="P48" s="15"/>
      <c r="Q48" s="15"/>
    </row>
    <row r="49" customFormat="1" customHeight="1" spans="1:17">
      <c r="A49" s="7"/>
      <c r="B49" s="7"/>
      <c r="C49" s="7"/>
      <c r="D49" s="7"/>
      <c r="E49" s="7"/>
      <c r="F49" s="7"/>
      <c r="G49" s="7"/>
      <c r="H49" s="7"/>
      <c r="I49" s="16"/>
      <c r="J49" s="15"/>
      <c r="K49" s="15"/>
      <c r="L49" s="15"/>
      <c r="M49" s="15"/>
      <c r="N49" s="15"/>
      <c r="O49" s="15"/>
      <c r="P49" s="15"/>
      <c r="Q49" s="15"/>
    </row>
    <row r="50" customFormat="1" customHeight="1" spans="1:17">
      <c r="B50" t="s">
        <v>37</v>
      </c>
      <c r="C50" t="s">
        <v>34</v>
      </c>
      <c r="D50">
        <f>D47+72</f>
        <v>3100</v>
      </c>
      <c r="F50" t="s">
        <v>38</v>
      </c>
      <c r="I50" s="16"/>
      <c r="K50" s="11" t="s">
        <v>39</v>
      </c>
      <c r="L50" s="11" t="s">
        <v>34</v>
      </c>
      <c r="M50" s="11">
        <f>M46+96</f>
        <v>4700</v>
      </c>
      <c r="N50" s="11"/>
      <c r="O50" s="11" t="s">
        <v>40</v>
      </c>
    </row>
    <row r="51" customFormat="1" customHeight="1" spans="1:17">
      <c r="B51" t="s">
        <v>112</v>
      </c>
      <c r="C51" t="s">
        <v>42</v>
      </c>
      <c r="D51">
        <f>D50+2</f>
        <v>3102</v>
      </c>
      <c r="F51" t="s">
        <v>113</v>
      </c>
      <c r="I51" s="16"/>
      <c r="K51" s="11" t="s">
        <v>44</v>
      </c>
      <c r="L51" s="11" t="s">
        <v>45</v>
      </c>
      <c r="M51" s="11">
        <f>M50+2</f>
        <v>4702</v>
      </c>
      <c r="N51" s="11"/>
      <c r="O51" s="11" t="s">
        <v>46</v>
      </c>
    </row>
    <row r="52" customFormat="1" customHeight="1" spans="1:17">
      <c r="B52" t="s">
        <v>114</v>
      </c>
      <c r="C52" t="s">
        <v>42</v>
      </c>
      <c r="D52">
        <f>D51+26</f>
        <v>3128</v>
      </c>
      <c r="F52" t="s">
        <v>115</v>
      </c>
      <c r="I52" s="16"/>
    </row>
    <row r="53" customFormat="1" customHeight="1" spans="1:17">
      <c r="B53" t="s">
        <v>116</v>
      </c>
      <c r="C53" t="s">
        <v>117</v>
      </c>
      <c r="D53">
        <f>D52+26</f>
        <v>3154</v>
      </c>
      <c r="F53" t="s">
        <v>118</v>
      </c>
      <c r="I53" s="17"/>
    </row>
  </sheetData>
  <mergeCells count="24">
    <mergeCell ref="I2:I4"/>
    <mergeCell ref="I5:I9"/>
    <mergeCell ref="I10:I15"/>
    <mergeCell ref="I16:I21"/>
    <mergeCell ref="I22:I27"/>
    <mergeCell ref="I28:I41"/>
    <mergeCell ref="I42:I47"/>
    <mergeCell ref="I48:I53"/>
    <mergeCell ref="A2:H3"/>
    <mergeCell ref="J2:Q3"/>
    <mergeCell ref="A5:H6"/>
    <mergeCell ref="J5:Q6"/>
    <mergeCell ref="A10:H11"/>
    <mergeCell ref="J10:Q11"/>
    <mergeCell ref="A16:H17"/>
    <mergeCell ref="J16:Q17"/>
    <mergeCell ref="A22:H23"/>
    <mergeCell ref="J22:Q23"/>
    <mergeCell ref="A28:H29"/>
    <mergeCell ref="J28:Q29"/>
    <mergeCell ref="A42:H43"/>
    <mergeCell ref="J42:Q43"/>
    <mergeCell ref="A48:H49"/>
    <mergeCell ref="J48:Q49"/>
  </mergeCells>
  <pageMargins left="0.7875" right="0.7875" top="0.7875" bottom="0.7875" header="0.39375" footer="0.39375"/>
  <pageSetup paperSize="9" fitToWidth="0" pageOrder="overThenDown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13.6416666666667" defaultRowHeight="18" customHeight="1" outlineLevelRow="4" outlineLevelCol="2"/>
  <cols>
    <col min="1" max="1" width="18.7083333333333" customWidth="1"/>
    <col min="2" max="2" width="14.7083333333333" customWidth="1"/>
    <col min="3" max="3" width="18.7083333333333" customWidth="1"/>
  </cols>
  <sheetData>
    <row r="1" ht="16.5" spans="1:3">
      <c r="A1" s="1" t="s">
        <v>21</v>
      </c>
      <c r="B1" s="1" t="s">
        <v>22</v>
      </c>
      <c r="C1" s="1" t="s">
        <v>161</v>
      </c>
    </row>
    <row r="2" ht="16.5" spans="1:3">
      <c r="A2" s="2" t="s">
        <v>162</v>
      </c>
      <c r="B2" s="2" t="s">
        <v>65</v>
      </c>
      <c r="C2" s="2" t="s">
        <v>162</v>
      </c>
    </row>
    <row r="3" ht="16.5" spans="1:3">
      <c r="A3" s="2" t="s">
        <v>163</v>
      </c>
      <c r="B3" s="2" t="s">
        <v>65</v>
      </c>
      <c r="C3" s="2" t="s">
        <v>163</v>
      </c>
    </row>
    <row r="4" ht="16.5" spans="1:3">
      <c r="A4" s="2" t="s">
        <v>164</v>
      </c>
      <c r="B4" s="2" t="s">
        <v>65</v>
      </c>
      <c r="C4" s="2" t="s">
        <v>164</v>
      </c>
    </row>
    <row r="5" ht="16.5" spans="1:3">
      <c r="A5" s="2" t="s">
        <v>165</v>
      </c>
      <c r="B5" s="2" t="s">
        <v>65</v>
      </c>
      <c r="C5" s="2" t="s">
        <v>165</v>
      </c>
    </row>
  </sheetData>
  <pageMargins left="0.7875" right="0.7875" top="0.7875" bottom="0.7875" header="0.39375" footer="0.39375"/>
  <pageSetup paperSize="9" fitToWidth="0" pageOrder="overThenDown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13.6416666666667" defaultRowHeight="18" customHeight="1" outlineLevelRow="5" outlineLevelCol="2"/>
  <cols>
    <col min="1" max="1" width="20.7083333333333" customWidth="1"/>
    <col min="2" max="3" width="14.7083333333333" customWidth="1"/>
  </cols>
  <sheetData>
    <row r="1" ht="16.5" spans="1:3">
      <c r="A1" s="1" t="s">
        <v>21</v>
      </c>
      <c r="B1" s="1" t="s">
        <v>22</v>
      </c>
      <c r="C1" s="1" t="s">
        <v>161</v>
      </c>
    </row>
    <row r="2" ht="16.5" spans="1:3">
      <c r="A2" s="2" t="s">
        <v>166</v>
      </c>
      <c r="B2" s="2" t="s">
        <v>45</v>
      </c>
      <c r="C2" s="2" t="s">
        <v>167</v>
      </c>
    </row>
    <row r="3" ht="16.5" spans="1:3">
      <c r="A3" s="2" t="s">
        <v>168</v>
      </c>
      <c r="B3" s="2" t="s">
        <v>45</v>
      </c>
      <c r="C3" s="2" t="s">
        <v>169</v>
      </c>
    </row>
    <row r="4" ht="16.5" spans="1:3">
      <c r="A4" s="2" t="s">
        <v>170</v>
      </c>
      <c r="B4" s="2" t="s">
        <v>45</v>
      </c>
      <c r="C4" s="2" t="s">
        <v>171</v>
      </c>
    </row>
    <row r="5" ht="16.5" spans="1:3">
      <c r="A5" s="2" t="s">
        <v>172</v>
      </c>
      <c r="B5" s="2" t="s">
        <v>65</v>
      </c>
      <c r="C5" s="2" t="s">
        <v>173</v>
      </c>
    </row>
    <row r="6" ht="16.5" spans="1:3">
      <c r="A6" s="2" t="s">
        <v>174</v>
      </c>
      <c r="B6" s="2" t="s">
        <v>65</v>
      </c>
      <c r="C6" s="2" t="s">
        <v>175</v>
      </c>
    </row>
  </sheetData>
  <pageMargins left="0.7875" right="0.7875" top="0.7875" bottom="0.7875" header="0.39375" footer="0.39375"/>
  <pageSetup paperSize="9" fitToWidth="0" pageOrder="overThenDown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修订说明</vt:lpstr>
      <vt:lpstr>下箱体上线</vt:lpstr>
      <vt:lpstr>下箱体涂胶</vt:lpstr>
      <vt:lpstr>肩部涂胶</vt:lpstr>
      <vt:lpstr>压条自动加压和拧紧</vt:lpstr>
      <vt:lpstr>上盖拧紧</vt:lpstr>
      <vt:lpstr>涂胶Array参数</vt:lpstr>
      <vt:lpstr>拧紧Array参数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笑容依旧</cp:lastModifiedBy>
  <cp:revision>0</cp:revision>
  <dcterms:created xsi:type="dcterms:W3CDTF">2026-03-15T17:13:00Z</dcterms:created>
  <dcterms:modified xsi:type="dcterms:W3CDTF">2026-04-13T05:58:22Z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CAEADA9794CD49A8B484C9AC9DE8B911_13</vt:lpwstr>
  </property>
  <property fmtid="{D5CDD505-2E9C-101B-9397-08002B2CF9AE}" pid="3" name="KSOProductBuildVer">
    <vt:lpwstr>2052-12.1.0.22089</vt:lpwstr>
  </property>
</Properties>
</file>