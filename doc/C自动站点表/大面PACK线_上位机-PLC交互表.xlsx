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ource\钟洋\C标准程序框架\标准程序框架\"/>
    </mc:Choice>
  </mc:AlternateContent>
  <xr:revisionPtr revIDLastSave="0" documentId="13_ncr:1_{A88DBF6E-DBCF-48EF-9B40-FCBDD15C18E3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下箱体涂胶" sheetId="5" r:id="rId1"/>
    <sheet name="正置加压" sheetId="10" r:id="rId2"/>
    <sheet name="Beam间隙涂胶" sheetId="11" r:id="rId3"/>
    <sheet name="肩部涂胶" sheetId="7" r:id="rId4"/>
    <sheet name="压条加压" sheetId="8" r:id="rId5"/>
    <sheet name="上盖拧紧" sheetId="12" r:id="rId6"/>
    <sheet name="拧紧Array参数" sheetId="13" r:id="rId7"/>
    <sheet name="Beam底部间隙涂胶" sheetId="6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2" l="1"/>
  <c r="M9" i="12" s="1"/>
  <c r="M12" i="12" s="1"/>
  <c r="M13" i="12" s="1"/>
  <c r="M14" i="12" s="1"/>
  <c r="M18" i="12" s="1"/>
  <c r="M19" i="12" s="1"/>
  <c r="M20" i="12" s="1"/>
  <c r="M24" i="12" s="1"/>
  <c r="M25" i="12" s="1"/>
  <c r="M26" i="12" s="1"/>
  <c r="M27" i="12" s="1"/>
  <c r="M30" i="12" s="1"/>
  <c r="M31" i="12" s="1"/>
  <c r="M32" i="12" s="1"/>
  <c r="M44" i="12" s="1"/>
  <c r="M45" i="12" s="1"/>
  <c r="D8" i="12"/>
  <c r="D9" i="12" s="1"/>
  <c r="D12" i="12" s="1"/>
  <c r="D13" i="12" s="1"/>
  <c r="D14" i="12" s="1"/>
  <c r="D15" i="12" s="1"/>
  <c r="D18" i="12" s="1"/>
  <c r="D19" i="12" s="1"/>
  <c r="D20" i="12" s="1"/>
  <c r="D21" i="12" s="1"/>
  <c r="D24" i="12" s="1"/>
  <c r="D25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4" i="12" s="1"/>
  <c r="D45" i="12" s="1"/>
  <c r="D46" i="12" s="1"/>
  <c r="M60" i="8"/>
  <c r="M61" i="8" s="1"/>
  <c r="D60" i="8"/>
  <c r="D61" i="8" s="1"/>
  <c r="M60" i="10"/>
  <c r="M61" i="10" s="1"/>
  <c r="D60" i="10"/>
  <c r="D61" i="10" s="1"/>
  <c r="D60" i="5"/>
  <c r="D61" i="5" s="1"/>
  <c r="M60" i="5"/>
  <c r="M61" i="5" s="1"/>
  <c r="M62" i="5" s="1"/>
  <c r="M8" i="6"/>
  <c r="M9" i="6" s="1"/>
  <c r="M12" i="6" s="1"/>
  <c r="M13" i="6" s="1"/>
  <c r="M14" i="6" s="1"/>
  <c r="M18" i="6" s="1"/>
  <c r="M19" i="6" s="1"/>
  <c r="M20" i="6" s="1"/>
  <c r="M24" i="6" s="1"/>
  <c r="M25" i="6" s="1"/>
  <c r="M26" i="6" s="1"/>
  <c r="M27" i="6" s="1"/>
  <c r="M30" i="6" s="1"/>
  <c r="M31" i="6" s="1"/>
  <c r="M32" i="6" s="1"/>
  <c r="M44" i="6" s="1"/>
  <c r="M45" i="6" s="1"/>
  <c r="M46" i="6" s="1"/>
  <c r="D8" i="6"/>
  <c r="D9" i="6" s="1"/>
  <c r="D12" i="6" s="1"/>
  <c r="D13" i="6" s="1"/>
  <c r="D14" i="6" s="1"/>
  <c r="D15" i="6" s="1"/>
  <c r="D18" i="6" s="1"/>
  <c r="D19" i="6" s="1"/>
  <c r="D20" i="6" s="1"/>
  <c r="D21" i="6" s="1"/>
  <c r="D24" i="6" s="1"/>
  <c r="D25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M8" i="8"/>
  <c r="M9" i="8" s="1"/>
  <c r="M12" i="8" s="1"/>
  <c r="M13" i="8" s="1"/>
  <c r="M14" i="8" s="1"/>
  <c r="M18" i="8" s="1"/>
  <c r="M19" i="8" s="1"/>
  <c r="M20" i="8" s="1"/>
  <c r="M24" i="8" s="1"/>
  <c r="M25" i="8" s="1"/>
  <c r="M26" i="8" s="1"/>
  <c r="M27" i="8" s="1"/>
  <c r="M30" i="8" s="1"/>
  <c r="M31" i="8" s="1"/>
  <c r="M32" i="8" s="1"/>
  <c r="M44" i="8" s="1"/>
  <c r="M45" i="8" s="1"/>
  <c r="M46" i="8" s="1"/>
  <c r="D8" i="8"/>
  <c r="D9" i="8" s="1"/>
  <c r="D12" i="8" s="1"/>
  <c r="D13" i="8" s="1"/>
  <c r="D14" i="8" s="1"/>
  <c r="D15" i="8" s="1"/>
  <c r="D18" i="8" s="1"/>
  <c r="D19" i="8" s="1"/>
  <c r="D20" i="8" s="1"/>
  <c r="D21" i="8" s="1"/>
  <c r="D24" i="8" s="1"/>
  <c r="D25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M8" i="7"/>
  <c r="M9" i="7" s="1"/>
  <c r="M12" i="7" s="1"/>
  <c r="M13" i="7" s="1"/>
  <c r="M14" i="7" s="1"/>
  <c r="M18" i="7" s="1"/>
  <c r="M19" i="7" s="1"/>
  <c r="M20" i="7" s="1"/>
  <c r="M24" i="7" s="1"/>
  <c r="M25" i="7" s="1"/>
  <c r="M26" i="7" s="1"/>
  <c r="M27" i="7" s="1"/>
  <c r="M30" i="7" s="1"/>
  <c r="M31" i="7" s="1"/>
  <c r="M32" i="7" s="1"/>
  <c r="M44" i="7" s="1"/>
  <c r="M45" i="7" s="1"/>
  <c r="M46" i="7" s="1"/>
  <c r="D8" i="7"/>
  <c r="D9" i="7" s="1"/>
  <c r="D12" i="7" s="1"/>
  <c r="D13" i="7" s="1"/>
  <c r="D14" i="7" s="1"/>
  <c r="D15" i="7" s="1"/>
  <c r="D18" i="7" s="1"/>
  <c r="D19" i="7" s="1"/>
  <c r="D20" i="7" s="1"/>
  <c r="D21" i="7" s="1"/>
  <c r="D24" i="7" s="1"/>
  <c r="D25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M8" i="11"/>
  <c r="M9" i="11" s="1"/>
  <c r="M12" i="11" s="1"/>
  <c r="M13" i="11" s="1"/>
  <c r="M14" i="11" s="1"/>
  <c r="M18" i="11" s="1"/>
  <c r="M19" i="11" s="1"/>
  <c r="M20" i="11" s="1"/>
  <c r="M24" i="11" s="1"/>
  <c r="M25" i="11" s="1"/>
  <c r="M26" i="11" s="1"/>
  <c r="M27" i="11" s="1"/>
  <c r="M30" i="11" s="1"/>
  <c r="M31" i="11" s="1"/>
  <c r="M32" i="11" s="1"/>
  <c r="M44" i="11" s="1"/>
  <c r="M45" i="11" s="1"/>
  <c r="M46" i="11" s="1"/>
  <c r="D8" i="11"/>
  <c r="D9" i="11" s="1"/>
  <c r="D12" i="11" s="1"/>
  <c r="D13" i="11" s="1"/>
  <c r="D14" i="11" s="1"/>
  <c r="D15" i="11" s="1"/>
  <c r="D18" i="11" s="1"/>
  <c r="D19" i="11" s="1"/>
  <c r="D20" i="11" s="1"/>
  <c r="D21" i="11" s="1"/>
  <c r="D24" i="11" s="1"/>
  <c r="D25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9" i="10"/>
  <c r="D12" i="10" s="1"/>
  <c r="D13" i="10" s="1"/>
  <c r="D14" i="10" s="1"/>
  <c r="D15" i="10" s="1"/>
  <c r="D18" i="10" s="1"/>
  <c r="D19" i="10" s="1"/>
  <c r="D20" i="10" s="1"/>
  <c r="D21" i="10" s="1"/>
  <c r="D24" i="10" s="1"/>
  <c r="D25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M8" i="10"/>
  <c r="M9" i="10" s="1"/>
  <c r="M12" i="10" s="1"/>
  <c r="M13" i="10" s="1"/>
  <c r="M14" i="10" s="1"/>
  <c r="M18" i="10" s="1"/>
  <c r="M19" i="10" s="1"/>
  <c r="M20" i="10" s="1"/>
  <c r="M24" i="10" s="1"/>
  <c r="M25" i="10" s="1"/>
  <c r="M26" i="10" s="1"/>
  <c r="M27" i="10" s="1"/>
  <c r="M30" i="10" s="1"/>
  <c r="M31" i="10" s="1"/>
  <c r="M32" i="10" s="1"/>
  <c r="M44" i="10" s="1"/>
  <c r="M45" i="10" s="1"/>
  <c r="M46" i="10" s="1"/>
  <c r="D8" i="10"/>
  <c r="M8" i="5"/>
  <c r="M9" i="5" s="1"/>
  <c r="M12" i="5" s="1"/>
  <c r="M13" i="5" s="1"/>
  <c r="M14" i="5" s="1"/>
  <c r="M18" i="5" s="1"/>
  <c r="M19" i="5" s="1"/>
  <c r="M20" i="5" s="1"/>
  <c r="M24" i="5" s="1"/>
  <c r="M25" i="5" s="1"/>
  <c r="M26" i="5" s="1"/>
  <c r="M27" i="5" s="1"/>
  <c r="M30" i="5" s="1"/>
  <c r="M31" i="5" s="1"/>
  <c r="M32" i="5" s="1"/>
  <c r="M44" i="5" s="1"/>
  <c r="M45" i="5" s="1"/>
  <c r="M46" i="5" s="1"/>
  <c r="D8" i="5"/>
  <c r="D9" i="5" s="1"/>
  <c r="D12" i="5" s="1"/>
  <c r="D13" i="5" s="1"/>
  <c r="D14" i="5" s="1"/>
  <c r="D15" i="5" s="1"/>
  <c r="D18" i="5" s="1"/>
  <c r="D19" i="5" s="1"/>
  <c r="D20" i="5" s="1"/>
  <c r="D21" i="5" s="1"/>
  <c r="D24" i="5" s="1"/>
  <c r="D25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</calcChain>
</file>

<file path=xl/sharedStrings.xml><?xml version="1.0" encoding="utf-8"?>
<sst xmlns="http://schemas.openxmlformats.org/spreadsheetml/2006/main" count="1370" uniqueCount="112">
  <si>
    <t>PLC====&gt;上位机</t>
    <phoneticPr fontId="1" type="noConversion"/>
  </si>
  <si>
    <t>上位机====&gt;PLC</t>
    <phoneticPr fontId="1" type="noConversion"/>
  </si>
  <si>
    <t>Bool</t>
  </si>
  <si>
    <t>触发信号：上位机检测上升沿后进行读取</t>
  </si>
  <si>
    <t>String[24]</t>
  </si>
  <si>
    <t>SFC</t>
  </si>
  <si>
    <t>序号</t>
    <phoneticPr fontId="1" type="noConversion"/>
  </si>
  <si>
    <t>变量名</t>
    <phoneticPr fontId="1" type="noConversion"/>
  </si>
  <si>
    <t>数据类型</t>
    <phoneticPr fontId="1" type="noConversion"/>
  </si>
  <si>
    <t>DB</t>
    <phoneticPr fontId="1" type="noConversion"/>
  </si>
  <si>
    <t>起始地址</t>
    <phoneticPr fontId="1" type="noConversion"/>
  </si>
  <si>
    <t>长度</t>
    <phoneticPr fontId="1" type="noConversion"/>
  </si>
  <si>
    <t>位</t>
    <phoneticPr fontId="1" type="noConversion"/>
  </si>
  <si>
    <t>定义</t>
    <phoneticPr fontId="1" type="noConversion"/>
  </si>
  <si>
    <t>FinishSignal</t>
  </si>
  <si>
    <t>完成信号，PLC收到完成信号后进行判断</t>
  </si>
  <si>
    <t>ResCode</t>
  </si>
  <si>
    <t>Int</t>
  </si>
  <si>
    <t>工厂MES返回代码，＞0NG，＝0合格。</t>
  </si>
  <si>
    <t>Real</t>
  </si>
  <si>
    <t>接口</t>
    <phoneticPr fontId="1" type="noConversion"/>
  </si>
  <si>
    <t>通用</t>
    <phoneticPr fontId="1" type="noConversion"/>
  </si>
  <si>
    <t>Heartbeat</t>
    <phoneticPr fontId="1" type="noConversion"/>
  </si>
  <si>
    <t>心跳，上位机每500MS取反写入一次</t>
    <phoneticPr fontId="1" type="noConversion"/>
  </si>
  <si>
    <t>StartSignal</t>
  </si>
  <si>
    <t>JRKSSJ</t>
    <phoneticPr fontId="1" type="noConversion"/>
  </si>
  <si>
    <t>DTL</t>
    <phoneticPr fontId="1" type="noConversion"/>
  </si>
  <si>
    <t>SJSJSJ1</t>
    <phoneticPr fontId="1" type="noConversion"/>
  </si>
  <si>
    <t>SJSJSJ2</t>
  </si>
  <si>
    <t>SJSJSJ3</t>
  </si>
  <si>
    <t>SJSJSJ4</t>
  </si>
  <si>
    <t>SJSJSJ5</t>
  </si>
  <si>
    <t>SJSJSJ6</t>
  </si>
  <si>
    <t>首件数据收集1</t>
    <phoneticPr fontId="1" type="noConversion"/>
  </si>
  <si>
    <t>首件数据收集2</t>
  </si>
  <si>
    <t>首件数据收集3</t>
  </si>
  <si>
    <t>首件数据收集4</t>
  </si>
  <si>
    <t>首件数据收集5</t>
  </si>
  <si>
    <t>首件数据收集6</t>
  </si>
  <si>
    <t>PACK码</t>
    <phoneticPr fontId="1" type="noConversion"/>
  </si>
  <si>
    <t>进站</t>
    <phoneticPr fontId="1" type="noConversion"/>
  </si>
  <si>
    <t>SJSJSJ7</t>
  </si>
  <si>
    <t>SJSJSJ8</t>
  </si>
  <si>
    <t>SJSJSJ9</t>
  </si>
  <si>
    <t>SJSJSJ10</t>
  </si>
  <si>
    <t>首件数据收集7</t>
  </si>
  <si>
    <t>首件数据收集8</t>
  </si>
  <si>
    <t>首件数据收集9</t>
  </si>
  <si>
    <t>首件数据收集10</t>
  </si>
  <si>
    <t>过程参数1</t>
    <phoneticPr fontId="1" type="noConversion"/>
  </si>
  <si>
    <t>过程参数2</t>
  </si>
  <si>
    <t>过程参数3</t>
  </si>
  <si>
    <t>过程参数4</t>
  </si>
  <si>
    <t>过程参数5</t>
  </si>
  <si>
    <t>过程参数6</t>
  </si>
  <si>
    <t>开始时间</t>
    <phoneticPr fontId="1" type="noConversion"/>
  </si>
  <si>
    <t>过程参数7</t>
  </si>
  <si>
    <t>过程参数8</t>
  </si>
  <si>
    <t>过程参数10</t>
  </si>
  <si>
    <t>首件</t>
    <phoneticPr fontId="1" type="noConversion"/>
  </si>
  <si>
    <t>装配</t>
    <phoneticPr fontId="1" type="noConversion"/>
  </si>
  <si>
    <t>模组码</t>
    <phoneticPr fontId="1" type="noConversion"/>
  </si>
  <si>
    <t>过程参数收集</t>
    <phoneticPr fontId="1" type="noConversion"/>
  </si>
  <si>
    <t>GCCS1</t>
    <phoneticPr fontId="1" type="noConversion"/>
  </si>
  <si>
    <t>GCCS2</t>
  </si>
  <si>
    <t>GCCS3</t>
  </si>
  <si>
    <t>GCCS4</t>
  </si>
  <si>
    <t>GCCS5</t>
  </si>
  <si>
    <t>GCCS6</t>
  </si>
  <si>
    <t>GCCS7</t>
  </si>
  <si>
    <t>GCCS8</t>
  </si>
  <si>
    <t>GCCS9</t>
  </si>
  <si>
    <t>GCCS10</t>
  </si>
  <si>
    <t>触发信号：上位机检测上升沿后进行读取</t>
    <phoneticPr fontId="1" type="noConversion"/>
  </si>
  <si>
    <t>完成信号，PLC收到完成信号后进行判断</t>
    <phoneticPr fontId="1" type="noConversion"/>
  </si>
  <si>
    <t>工厂MES返回代码，＞0NG，＝0合格。</t>
    <phoneticPr fontId="1" type="noConversion"/>
  </si>
  <si>
    <t>物料校验</t>
    <phoneticPr fontId="1" type="noConversion"/>
  </si>
  <si>
    <t>ModuleCode</t>
  </si>
  <si>
    <t>Code</t>
    <phoneticPr fontId="1" type="noConversion"/>
  </si>
  <si>
    <t>String[24]</t>
    <phoneticPr fontId="1" type="noConversion"/>
  </si>
  <si>
    <t>PACK码（String[24]实际占位26个字节）</t>
    <phoneticPr fontId="1" type="noConversion"/>
  </si>
  <si>
    <t>物料码（String[24]实际占位26个字节）</t>
    <phoneticPr fontId="1" type="noConversion"/>
  </si>
  <si>
    <t>申请SFC</t>
    <phoneticPr fontId="1" type="noConversion"/>
  </si>
  <si>
    <t>申请的条码String[24]实际占位26个字节）</t>
    <phoneticPr fontId="1" type="noConversion"/>
  </si>
  <si>
    <t>预留72个字节</t>
    <phoneticPr fontId="1" type="noConversion"/>
  </si>
  <si>
    <t>预留96个字节</t>
    <phoneticPr fontId="1" type="noConversion"/>
  </si>
  <si>
    <t>预留46个字节</t>
    <phoneticPr fontId="1" type="noConversion"/>
  </si>
  <si>
    <t>预留98个字节</t>
    <phoneticPr fontId="1" type="noConversion"/>
  </si>
  <si>
    <t>预留70个字节</t>
    <phoneticPr fontId="1" type="noConversion"/>
  </si>
  <si>
    <t>预留58个字节</t>
    <phoneticPr fontId="1" type="noConversion"/>
  </si>
  <si>
    <t>预留196个字节</t>
    <phoneticPr fontId="1" type="noConversion"/>
  </si>
  <si>
    <t>过程参数9</t>
    <phoneticPr fontId="1" type="noConversion"/>
  </si>
  <si>
    <t>预留120个字节</t>
    <phoneticPr fontId="1" type="noConversion"/>
  </si>
  <si>
    <t>获取数据</t>
    <phoneticPr fontId="1" type="noConversion"/>
  </si>
  <si>
    <t>Array[0...200] of Real</t>
    <phoneticPr fontId="1" type="noConversion"/>
  </si>
  <si>
    <t>校验涂胶超时</t>
    <phoneticPr fontId="1" type="noConversion"/>
  </si>
  <si>
    <t>NJJG</t>
    <phoneticPr fontId="1" type="noConversion"/>
  </si>
  <si>
    <t>Array[0…150]</t>
    <phoneticPr fontId="1" type="noConversion"/>
  </si>
  <si>
    <t>拧紧结果数组</t>
    <phoneticPr fontId="1" type="noConversion"/>
  </si>
  <si>
    <t>说明</t>
    <phoneticPr fontId="1" type="noConversion"/>
  </si>
  <si>
    <t>ResultOK</t>
    <phoneticPr fontId="1" type="noConversion"/>
  </si>
  <si>
    <t>Int</t>
    <phoneticPr fontId="1" type="noConversion"/>
  </si>
  <si>
    <t>拧紧结果</t>
    <phoneticPr fontId="1" type="noConversion"/>
  </si>
  <si>
    <t>OrderNo</t>
    <phoneticPr fontId="1" type="noConversion"/>
  </si>
  <si>
    <t>螺丝序号</t>
    <phoneticPr fontId="1" type="noConversion"/>
  </si>
  <si>
    <t>ProgramNo</t>
    <phoneticPr fontId="1" type="noConversion"/>
  </si>
  <si>
    <t>程序号</t>
    <phoneticPr fontId="1" type="noConversion"/>
  </si>
  <si>
    <t>TorqueResult</t>
    <phoneticPr fontId="1" type="noConversion"/>
  </si>
  <si>
    <t>Real</t>
    <phoneticPr fontId="1" type="noConversion"/>
  </si>
  <si>
    <t>扭矩结果</t>
    <phoneticPr fontId="1" type="noConversion"/>
  </si>
  <si>
    <t>AngleResult</t>
    <phoneticPr fontId="1" type="noConversion"/>
  </si>
  <si>
    <t>角度结果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</si>
</sst>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/>
    </xf>
    <xf numFmtId="0" fontId="5" fillId="6" borderId="0" xfId="2" applyAlignment="1"/>
    <xf numFmtId="0" fontId="4" fillId="5" borderId="0" xfId="1" applyAlignment="1"/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B1B3-09A3-4148-9FE0-DB1FE07979E4}">
  <dimension ref="A1:Q72"/>
  <sheetViews>
    <sheetView topLeftCell="A40" zoomScaleNormal="100" workbookViewId="0">
      <selection activeCell="F69" sqref="F69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4" t="s">
        <v>21</v>
      </c>
      <c r="J2" s="13" t="s">
        <v>1</v>
      </c>
      <c r="K2" s="14"/>
      <c r="L2" s="14"/>
      <c r="M2" s="14"/>
      <c r="N2" s="14"/>
      <c r="O2" s="14"/>
      <c r="P2" s="14"/>
      <c r="Q2" s="15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5"/>
      <c r="J3" s="16"/>
      <c r="K3" s="17"/>
      <c r="L3" s="17"/>
      <c r="M3" s="17"/>
      <c r="N3" s="17"/>
      <c r="O3" s="17"/>
      <c r="P3" s="17"/>
      <c r="Q3" s="18"/>
    </row>
    <row r="4" spans="1:17" ht="14.25" customHeight="1" x14ac:dyDescent="0.2">
      <c r="H4">
        <v>200</v>
      </c>
      <c r="I4" s="5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4" t="s">
        <v>40</v>
      </c>
      <c r="J5" s="13" t="s">
        <v>1</v>
      </c>
      <c r="K5" s="14"/>
      <c r="L5" s="14"/>
      <c r="M5" s="14"/>
      <c r="N5" s="14"/>
      <c r="O5" s="14"/>
      <c r="P5" s="14"/>
      <c r="Q5" s="15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5"/>
      <c r="J6" s="16"/>
      <c r="K6" s="17"/>
      <c r="L6" s="17"/>
      <c r="M6" s="17"/>
      <c r="N6" s="17"/>
      <c r="O6" s="17"/>
      <c r="P6" s="17"/>
      <c r="Q6" s="18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5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5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6"/>
      <c r="K9" t="s">
        <v>85</v>
      </c>
      <c r="M9">
        <f>M8+2</f>
        <v>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4" t="s">
        <v>76</v>
      </c>
      <c r="J10" s="13" t="s">
        <v>1</v>
      </c>
      <c r="K10" s="14"/>
      <c r="L10" s="14"/>
      <c r="M10" s="14"/>
      <c r="N10" s="14"/>
      <c r="O10" s="14"/>
      <c r="P10" s="14"/>
      <c r="Q10" s="15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5"/>
      <c r="J11" s="16"/>
      <c r="K11" s="17"/>
      <c r="L11" s="17"/>
      <c r="M11" s="17"/>
      <c r="N11" s="17"/>
      <c r="O11" s="17"/>
      <c r="P11" s="17"/>
      <c r="Q11" s="18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5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5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5"/>
      <c r="K14" t="s">
        <v>85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6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4" t="s">
        <v>60</v>
      </c>
      <c r="J16" s="13" t="s">
        <v>1</v>
      </c>
      <c r="K16" s="14"/>
      <c r="L16" s="14"/>
      <c r="M16" s="14"/>
      <c r="N16" s="14"/>
      <c r="O16" s="14"/>
      <c r="P16" s="14"/>
      <c r="Q16" s="15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5"/>
      <c r="J17" s="16"/>
      <c r="K17" s="17"/>
      <c r="L17" s="17"/>
      <c r="M17" s="17"/>
      <c r="N17" s="17"/>
      <c r="O17" s="17"/>
      <c r="P17" s="17"/>
      <c r="Q17" s="18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5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5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5"/>
      <c r="K20" t="s">
        <v>85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6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4" t="s">
        <v>82</v>
      </c>
      <c r="J22" s="13" t="s">
        <v>1</v>
      </c>
      <c r="K22" s="14"/>
      <c r="L22" s="14"/>
      <c r="M22" s="14"/>
      <c r="N22" s="14"/>
      <c r="O22" s="14"/>
      <c r="P22" s="14"/>
      <c r="Q22" s="15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5"/>
      <c r="J23" s="16"/>
      <c r="K23" s="17"/>
      <c r="L23" s="17"/>
      <c r="M23" s="17"/>
      <c r="N23" s="17"/>
      <c r="O23" s="17"/>
      <c r="P23" s="17"/>
      <c r="Q23" s="18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5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5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5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6"/>
      <c r="K27" t="s">
        <v>88</v>
      </c>
      <c r="M27">
        <f>M26+26</f>
        <v>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19" t="s">
        <v>59</v>
      </c>
      <c r="J28" s="13" t="s">
        <v>1</v>
      </c>
      <c r="K28" s="14"/>
      <c r="L28" s="14"/>
      <c r="M28" s="14"/>
      <c r="N28" s="14"/>
      <c r="O28" s="14"/>
      <c r="P28" s="14"/>
      <c r="Q28" s="15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0"/>
      <c r="J29" s="16"/>
      <c r="K29" s="17"/>
      <c r="L29" s="17"/>
      <c r="M29" s="17"/>
      <c r="N29" s="17"/>
      <c r="O29" s="17"/>
      <c r="P29" s="17"/>
      <c r="Q29" s="18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0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0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0"/>
      <c r="K32" t="s">
        <v>85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0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0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0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0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0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0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0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0"/>
    </row>
    <row r="41" spans="1:17" ht="25.5" customHeight="1" x14ac:dyDescent="0.2">
      <c r="B41" t="s">
        <v>89</v>
      </c>
      <c r="D41">
        <f>D40+4</f>
        <v>542</v>
      </c>
      <c r="I41" s="21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4" t="s">
        <v>62</v>
      </c>
      <c r="J42" s="13" t="s">
        <v>1</v>
      </c>
      <c r="K42" s="14"/>
      <c r="L42" s="14"/>
      <c r="M42" s="14"/>
      <c r="N42" s="14"/>
      <c r="O42" s="14"/>
      <c r="P42" s="14"/>
      <c r="Q42" s="15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5"/>
      <c r="J43" s="16"/>
      <c r="K43" s="17"/>
      <c r="L43" s="17"/>
      <c r="M43" s="17"/>
      <c r="N43" s="17"/>
      <c r="O43" s="17"/>
      <c r="P43" s="17"/>
      <c r="Q43" s="18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5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5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5"/>
      <c r="K46" t="s">
        <v>90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5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5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5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5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5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5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5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5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5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5"/>
    </row>
    <row r="57" spans="1:17" x14ac:dyDescent="0.2">
      <c r="B57" t="s">
        <v>92</v>
      </c>
      <c r="D57">
        <f>D56+4</f>
        <v>680</v>
      </c>
      <c r="I57" s="6"/>
    </row>
    <row r="58" spans="1:17" ht="14.25" customHeight="1" x14ac:dyDescent="0.2">
      <c r="A58" s="7" t="s">
        <v>0</v>
      </c>
      <c r="B58" s="8"/>
      <c r="C58" s="8"/>
      <c r="D58" s="8"/>
      <c r="E58" s="8"/>
      <c r="F58" s="8"/>
      <c r="G58" s="8"/>
      <c r="H58" s="9"/>
      <c r="I58" s="4" t="s">
        <v>93</v>
      </c>
      <c r="J58" s="13" t="s">
        <v>1</v>
      </c>
      <c r="K58" s="14"/>
      <c r="L58" s="14"/>
      <c r="M58" s="14"/>
      <c r="N58" s="14"/>
      <c r="O58" s="14"/>
      <c r="P58" s="14"/>
      <c r="Q58" s="15"/>
    </row>
    <row r="59" spans="1:17" ht="14.25" customHeight="1" x14ac:dyDescent="0.2">
      <c r="A59" s="10"/>
      <c r="B59" s="11"/>
      <c r="C59" s="11"/>
      <c r="D59" s="11"/>
      <c r="E59" s="11"/>
      <c r="F59" s="11"/>
      <c r="G59" s="11"/>
      <c r="H59" s="12"/>
      <c r="I59" s="22"/>
      <c r="J59" s="16"/>
      <c r="K59" s="17"/>
      <c r="L59" s="17"/>
      <c r="M59" s="17"/>
      <c r="N59" s="17"/>
      <c r="O59" s="17"/>
      <c r="P59" s="17"/>
      <c r="Q59" s="18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22"/>
      <c r="K60" t="s">
        <v>14</v>
      </c>
      <c r="L60" t="s">
        <v>2</v>
      </c>
      <c r="M60">
        <f>M46+196</f>
        <v>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22"/>
      <c r="K61" t="s">
        <v>16</v>
      </c>
      <c r="L61" t="s">
        <v>17</v>
      </c>
      <c r="M61">
        <f>M60+2</f>
        <v>802</v>
      </c>
      <c r="O61" t="s">
        <v>18</v>
      </c>
    </row>
    <row r="62" spans="1:17" ht="14.25" customHeight="1" x14ac:dyDescent="0.2">
      <c r="I62" s="22"/>
      <c r="K62" t="s">
        <v>63</v>
      </c>
      <c r="L62" t="s">
        <v>94</v>
      </c>
      <c r="M62">
        <f>M61+2</f>
        <v>804</v>
      </c>
    </row>
    <row r="63" spans="1:17" ht="14.25" customHeight="1" x14ac:dyDescent="0.2">
      <c r="I63" s="22"/>
    </row>
    <row r="64" spans="1:17" ht="14.25" customHeight="1" x14ac:dyDescent="0.2">
      <c r="I64" s="22"/>
    </row>
    <row r="65" spans="9:9" ht="14.25" customHeight="1" x14ac:dyDescent="0.2">
      <c r="I65" s="22"/>
    </row>
    <row r="66" spans="9:9" ht="14.25" customHeight="1" x14ac:dyDescent="0.2">
      <c r="I66" s="22"/>
    </row>
    <row r="67" spans="9:9" ht="14.25" customHeight="1" x14ac:dyDescent="0.2">
      <c r="I67" s="22"/>
    </row>
    <row r="68" spans="9:9" ht="14.25" customHeight="1" x14ac:dyDescent="0.2">
      <c r="I68" s="22"/>
    </row>
    <row r="69" spans="9:9" ht="14.25" customHeight="1" x14ac:dyDescent="0.2">
      <c r="I69" s="22"/>
    </row>
    <row r="70" spans="9:9" ht="14.25" customHeight="1" x14ac:dyDescent="0.2">
      <c r="I70" s="22"/>
    </row>
    <row r="71" spans="9:9" ht="14.25" customHeight="1" x14ac:dyDescent="0.2">
      <c r="I71" s="22"/>
    </row>
    <row r="72" spans="9:9" ht="14.25" customHeight="1" x14ac:dyDescent="0.2">
      <c r="I72" s="6"/>
    </row>
  </sheetData>
  <mergeCells count="24">
    <mergeCell ref="I58:I72"/>
    <mergeCell ref="A28:H29"/>
    <mergeCell ref="I28:I41"/>
    <mergeCell ref="J28:Q29"/>
    <mergeCell ref="A42:H43"/>
    <mergeCell ref="I42:I57"/>
    <mergeCell ref="J42:Q43"/>
    <mergeCell ref="A58:H59"/>
    <mergeCell ref="J58:Q59"/>
    <mergeCell ref="A2:H3"/>
    <mergeCell ref="I2:I4"/>
    <mergeCell ref="J2:Q3"/>
    <mergeCell ref="A5:H6"/>
    <mergeCell ref="J5:Q6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CDB3-EF2F-4ECB-9D94-3B1A497F5609}">
  <dimension ref="A1:Q72"/>
  <sheetViews>
    <sheetView topLeftCell="A28" zoomScale="85" zoomScaleNormal="85" workbookViewId="0">
      <selection activeCell="K69" sqref="K69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4" t="s">
        <v>21</v>
      </c>
      <c r="J2" s="13" t="s">
        <v>1</v>
      </c>
      <c r="K2" s="14"/>
      <c r="L2" s="14"/>
      <c r="M2" s="14"/>
      <c r="N2" s="14"/>
      <c r="O2" s="14"/>
      <c r="P2" s="14"/>
      <c r="Q2" s="15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5"/>
      <c r="J3" s="16"/>
      <c r="K3" s="17"/>
      <c r="L3" s="17"/>
      <c r="M3" s="17"/>
      <c r="N3" s="17"/>
      <c r="O3" s="17"/>
      <c r="P3" s="17"/>
      <c r="Q3" s="18"/>
    </row>
    <row r="4" spans="1:17" ht="14.25" customHeight="1" x14ac:dyDescent="0.2">
      <c r="H4">
        <v>200</v>
      </c>
      <c r="I4" s="5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4" t="s">
        <v>40</v>
      </c>
      <c r="J5" s="13" t="s">
        <v>1</v>
      </c>
      <c r="K5" s="14"/>
      <c r="L5" s="14"/>
      <c r="M5" s="14"/>
      <c r="N5" s="14"/>
      <c r="O5" s="14"/>
      <c r="P5" s="14"/>
      <c r="Q5" s="15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5"/>
      <c r="J6" s="16"/>
      <c r="K6" s="17"/>
      <c r="L6" s="17"/>
      <c r="M6" s="17"/>
      <c r="N6" s="17"/>
      <c r="O6" s="17"/>
      <c r="P6" s="17"/>
      <c r="Q6" s="18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5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5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6"/>
      <c r="K9" t="s">
        <v>85</v>
      </c>
      <c r="M9">
        <f>M8+2</f>
        <v>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4" t="s">
        <v>76</v>
      </c>
      <c r="J10" s="13" t="s">
        <v>1</v>
      </c>
      <c r="K10" s="14"/>
      <c r="L10" s="14"/>
      <c r="M10" s="14"/>
      <c r="N10" s="14"/>
      <c r="O10" s="14"/>
      <c r="P10" s="14"/>
      <c r="Q10" s="15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5"/>
      <c r="J11" s="16"/>
      <c r="K11" s="17"/>
      <c r="L11" s="17"/>
      <c r="M11" s="17"/>
      <c r="N11" s="17"/>
      <c r="O11" s="17"/>
      <c r="P11" s="17"/>
      <c r="Q11" s="18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5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5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5"/>
      <c r="K14" t="s">
        <v>85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6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4" t="s">
        <v>60</v>
      </c>
      <c r="J16" s="13" t="s">
        <v>1</v>
      </c>
      <c r="K16" s="14"/>
      <c r="L16" s="14"/>
      <c r="M16" s="14"/>
      <c r="N16" s="14"/>
      <c r="O16" s="14"/>
      <c r="P16" s="14"/>
      <c r="Q16" s="15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5"/>
      <c r="J17" s="16"/>
      <c r="K17" s="17"/>
      <c r="L17" s="17"/>
      <c r="M17" s="17"/>
      <c r="N17" s="17"/>
      <c r="O17" s="17"/>
      <c r="P17" s="17"/>
      <c r="Q17" s="18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5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5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5"/>
      <c r="K20" t="s">
        <v>85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6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4" t="s">
        <v>82</v>
      </c>
      <c r="J22" s="13" t="s">
        <v>1</v>
      </c>
      <c r="K22" s="14"/>
      <c r="L22" s="14"/>
      <c r="M22" s="14"/>
      <c r="N22" s="14"/>
      <c r="O22" s="14"/>
      <c r="P22" s="14"/>
      <c r="Q22" s="15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5"/>
      <c r="J23" s="16"/>
      <c r="K23" s="17"/>
      <c r="L23" s="17"/>
      <c r="M23" s="17"/>
      <c r="N23" s="17"/>
      <c r="O23" s="17"/>
      <c r="P23" s="17"/>
      <c r="Q23" s="18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5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5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5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6"/>
      <c r="K27" t="s">
        <v>88</v>
      </c>
      <c r="M27">
        <f>M26+26</f>
        <v>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19" t="s">
        <v>59</v>
      </c>
      <c r="J28" s="13" t="s">
        <v>1</v>
      </c>
      <c r="K28" s="14"/>
      <c r="L28" s="14"/>
      <c r="M28" s="14"/>
      <c r="N28" s="14"/>
      <c r="O28" s="14"/>
      <c r="P28" s="14"/>
      <c r="Q28" s="15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0"/>
      <c r="J29" s="16"/>
      <c r="K29" s="17"/>
      <c r="L29" s="17"/>
      <c r="M29" s="17"/>
      <c r="N29" s="17"/>
      <c r="O29" s="17"/>
      <c r="P29" s="17"/>
      <c r="Q29" s="18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0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0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0"/>
      <c r="K32" t="s">
        <v>85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0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0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0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0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0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0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0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0"/>
    </row>
    <row r="41" spans="1:17" ht="25.5" customHeight="1" x14ac:dyDescent="0.2">
      <c r="B41" t="s">
        <v>89</v>
      </c>
      <c r="D41">
        <f>D40+4</f>
        <v>542</v>
      </c>
      <c r="I41" s="21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4" t="s">
        <v>62</v>
      </c>
      <c r="J42" s="13" t="s">
        <v>1</v>
      </c>
      <c r="K42" s="14"/>
      <c r="L42" s="14"/>
      <c r="M42" s="14"/>
      <c r="N42" s="14"/>
      <c r="O42" s="14"/>
      <c r="P42" s="14"/>
      <c r="Q42" s="15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5"/>
      <c r="J43" s="16"/>
      <c r="K43" s="17"/>
      <c r="L43" s="17"/>
      <c r="M43" s="17"/>
      <c r="N43" s="17"/>
      <c r="O43" s="17"/>
      <c r="P43" s="17"/>
      <c r="Q43" s="18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5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5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5"/>
      <c r="K46" t="s">
        <v>90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5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5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5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5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5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5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5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5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5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5"/>
    </row>
    <row r="57" spans="1:17" x14ac:dyDescent="0.2">
      <c r="B57" t="s">
        <v>92</v>
      </c>
      <c r="D57">
        <f>D56+4</f>
        <v>680</v>
      </c>
      <c r="I57" s="6"/>
    </row>
    <row r="58" spans="1:17" ht="14.25" customHeight="1" x14ac:dyDescent="0.2">
      <c r="A58" s="7" t="s">
        <v>0</v>
      </c>
      <c r="B58" s="8"/>
      <c r="C58" s="8"/>
      <c r="D58" s="8"/>
      <c r="E58" s="8"/>
      <c r="F58" s="8"/>
      <c r="G58" s="8"/>
      <c r="H58" s="9"/>
      <c r="I58" s="4" t="s">
        <v>95</v>
      </c>
      <c r="J58" s="13" t="s">
        <v>1</v>
      </c>
      <c r="K58" s="14"/>
      <c r="L58" s="14"/>
      <c r="M58" s="14"/>
      <c r="N58" s="14"/>
      <c r="O58" s="14"/>
      <c r="P58" s="14"/>
      <c r="Q58" s="15"/>
    </row>
    <row r="59" spans="1:17" ht="14.25" customHeight="1" x14ac:dyDescent="0.2">
      <c r="A59" s="10"/>
      <c r="B59" s="11"/>
      <c r="C59" s="11"/>
      <c r="D59" s="11"/>
      <c r="E59" s="11"/>
      <c r="F59" s="11"/>
      <c r="G59" s="11"/>
      <c r="H59" s="12"/>
      <c r="I59" s="5"/>
      <c r="J59" s="16"/>
      <c r="K59" s="17"/>
      <c r="L59" s="17"/>
      <c r="M59" s="17"/>
      <c r="N59" s="17"/>
      <c r="O59" s="17"/>
      <c r="P59" s="17"/>
      <c r="Q59" s="18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5"/>
      <c r="K60" t="s">
        <v>14</v>
      </c>
      <c r="L60" t="s">
        <v>2</v>
      </c>
      <c r="M60">
        <f>M46+196</f>
        <v>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5"/>
      <c r="K61" t="s">
        <v>16</v>
      </c>
      <c r="L61" t="s">
        <v>17</v>
      </c>
      <c r="M61">
        <f>M60+2</f>
        <v>802</v>
      </c>
      <c r="O61" t="s">
        <v>18</v>
      </c>
    </row>
    <row r="62" spans="1:17" ht="14.25" customHeight="1" x14ac:dyDescent="0.2">
      <c r="I62" s="5"/>
    </row>
    <row r="63" spans="1:17" ht="14.25" customHeight="1" x14ac:dyDescent="0.2">
      <c r="I63" s="5"/>
    </row>
    <row r="64" spans="1:17" ht="14.25" customHeight="1" x14ac:dyDescent="0.2">
      <c r="I64" s="5"/>
    </row>
    <row r="65" spans="9:9" ht="14.25" customHeight="1" x14ac:dyDescent="0.2">
      <c r="I65" s="5"/>
    </row>
    <row r="66" spans="9:9" ht="14.25" customHeight="1" x14ac:dyDescent="0.2">
      <c r="I66" s="5"/>
    </row>
    <row r="67" spans="9:9" ht="14.25" customHeight="1" x14ac:dyDescent="0.2">
      <c r="I67" s="5"/>
    </row>
    <row r="68" spans="9:9" ht="14.25" customHeight="1" x14ac:dyDescent="0.2">
      <c r="I68" s="5"/>
    </row>
    <row r="69" spans="9:9" ht="14.25" customHeight="1" x14ac:dyDescent="0.2">
      <c r="I69" s="5"/>
    </row>
    <row r="70" spans="9:9" ht="14.25" customHeight="1" x14ac:dyDescent="0.2">
      <c r="I70" s="5"/>
    </row>
    <row r="71" spans="9:9" ht="14.25" customHeight="1" x14ac:dyDescent="0.2">
      <c r="I71" s="5"/>
    </row>
    <row r="72" spans="9:9" ht="14.25" customHeight="1" x14ac:dyDescent="0.2">
      <c r="I72" s="6"/>
    </row>
  </sheetData>
  <mergeCells count="24">
    <mergeCell ref="J42:Q43"/>
    <mergeCell ref="A58:H59"/>
    <mergeCell ref="I58:I72"/>
    <mergeCell ref="J58:Q59"/>
    <mergeCell ref="I5:I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639D-1E14-4229-B3BF-2DB820E48F8E}">
  <dimension ref="A1:Q57"/>
  <sheetViews>
    <sheetView topLeftCell="A28" workbookViewId="0">
      <selection activeCell="F73" sqref="F73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4" t="s">
        <v>21</v>
      </c>
      <c r="J2" s="13" t="s">
        <v>1</v>
      </c>
      <c r="K2" s="14"/>
      <c r="L2" s="14"/>
      <c r="M2" s="14"/>
      <c r="N2" s="14"/>
      <c r="O2" s="14"/>
      <c r="P2" s="14"/>
      <c r="Q2" s="15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5"/>
      <c r="J3" s="16"/>
      <c r="K3" s="17"/>
      <c r="L3" s="17"/>
      <c r="M3" s="17"/>
      <c r="N3" s="17"/>
      <c r="O3" s="17"/>
      <c r="P3" s="17"/>
      <c r="Q3" s="18"/>
    </row>
    <row r="4" spans="1:17" ht="14.25" customHeight="1" x14ac:dyDescent="0.2">
      <c r="H4">
        <v>200</v>
      </c>
      <c r="I4" s="5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4" t="s">
        <v>40</v>
      </c>
      <c r="J5" s="13" t="s">
        <v>1</v>
      </c>
      <c r="K5" s="14"/>
      <c r="L5" s="14"/>
      <c r="M5" s="14"/>
      <c r="N5" s="14"/>
      <c r="O5" s="14"/>
      <c r="P5" s="14"/>
      <c r="Q5" s="15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5"/>
      <c r="J6" s="16"/>
      <c r="K6" s="17"/>
      <c r="L6" s="17"/>
      <c r="M6" s="17"/>
      <c r="N6" s="17"/>
      <c r="O6" s="17"/>
      <c r="P6" s="17"/>
      <c r="Q6" s="18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5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5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6"/>
      <c r="K9" t="s">
        <v>85</v>
      </c>
      <c r="M9">
        <f>M8+2</f>
        <v>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4" t="s">
        <v>76</v>
      </c>
      <c r="J10" s="13" t="s">
        <v>1</v>
      </c>
      <c r="K10" s="14"/>
      <c r="L10" s="14"/>
      <c r="M10" s="14"/>
      <c r="N10" s="14"/>
      <c r="O10" s="14"/>
      <c r="P10" s="14"/>
      <c r="Q10" s="15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5"/>
      <c r="J11" s="16"/>
      <c r="K11" s="17"/>
      <c r="L11" s="17"/>
      <c r="M11" s="17"/>
      <c r="N11" s="17"/>
      <c r="O11" s="17"/>
      <c r="P11" s="17"/>
      <c r="Q11" s="18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5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5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5"/>
      <c r="K14" t="s">
        <v>85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6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4" t="s">
        <v>60</v>
      </c>
      <c r="J16" s="13" t="s">
        <v>1</v>
      </c>
      <c r="K16" s="14"/>
      <c r="L16" s="14"/>
      <c r="M16" s="14"/>
      <c r="N16" s="14"/>
      <c r="O16" s="14"/>
      <c r="P16" s="14"/>
      <c r="Q16" s="15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5"/>
      <c r="J17" s="16"/>
      <c r="K17" s="17"/>
      <c r="L17" s="17"/>
      <c r="M17" s="17"/>
      <c r="N17" s="17"/>
      <c r="O17" s="17"/>
      <c r="P17" s="17"/>
      <c r="Q17" s="18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5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5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5"/>
      <c r="K20" t="s">
        <v>85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6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4" t="s">
        <v>82</v>
      </c>
      <c r="J22" s="13" t="s">
        <v>1</v>
      </c>
      <c r="K22" s="14"/>
      <c r="L22" s="14"/>
      <c r="M22" s="14"/>
      <c r="N22" s="14"/>
      <c r="O22" s="14"/>
      <c r="P22" s="14"/>
      <c r="Q22" s="15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5"/>
      <c r="J23" s="16"/>
      <c r="K23" s="17"/>
      <c r="L23" s="17"/>
      <c r="M23" s="17"/>
      <c r="N23" s="17"/>
      <c r="O23" s="17"/>
      <c r="P23" s="17"/>
      <c r="Q23" s="18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5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5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5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6"/>
      <c r="K27" t="s">
        <v>88</v>
      </c>
      <c r="M27">
        <f>M26+26</f>
        <v>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19" t="s">
        <v>59</v>
      </c>
      <c r="J28" s="13" t="s">
        <v>1</v>
      </c>
      <c r="K28" s="14"/>
      <c r="L28" s="14"/>
      <c r="M28" s="14"/>
      <c r="N28" s="14"/>
      <c r="O28" s="14"/>
      <c r="P28" s="14"/>
      <c r="Q28" s="15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0"/>
      <c r="J29" s="16"/>
      <c r="K29" s="17"/>
      <c r="L29" s="17"/>
      <c r="M29" s="17"/>
      <c r="N29" s="17"/>
      <c r="O29" s="17"/>
      <c r="P29" s="17"/>
      <c r="Q29" s="18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0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0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0"/>
      <c r="K32" t="s">
        <v>85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0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0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0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0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0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0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0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0"/>
    </row>
    <row r="41" spans="1:17" ht="25.5" customHeight="1" x14ac:dyDescent="0.2">
      <c r="B41" t="s">
        <v>89</v>
      </c>
      <c r="D41">
        <f>D40+4</f>
        <v>542</v>
      </c>
      <c r="I41" s="21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4" t="s">
        <v>62</v>
      </c>
      <c r="J42" s="13" t="s">
        <v>1</v>
      </c>
      <c r="K42" s="14"/>
      <c r="L42" s="14"/>
      <c r="M42" s="14"/>
      <c r="N42" s="14"/>
      <c r="O42" s="14"/>
      <c r="P42" s="14"/>
      <c r="Q42" s="15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5"/>
      <c r="J43" s="16"/>
      <c r="K43" s="17"/>
      <c r="L43" s="17"/>
      <c r="M43" s="17"/>
      <c r="N43" s="17"/>
      <c r="O43" s="17"/>
      <c r="P43" s="17"/>
      <c r="Q43" s="18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5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5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5"/>
      <c r="K46" t="s">
        <v>90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5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5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5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5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5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5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5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5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5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5"/>
    </row>
    <row r="57" spans="2:9" x14ac:dyDescent="0.2">
      <c r="B57" t="s">
        <v>92</v>
      </c>
      <c r="D57">
        <f>D56+4</f>
        <v>680</v>
      </c>
      <c r="I57" s="6"/>
    </row>
  </sheetData>
  <mergeCells count="21">
    <mergeCell ref="A2:H3"/>
    <mergeCell ref="I2:I4"/>
    <mergeCell ref="J2:Q3"/>
    <mergeCell ref="A5:H6"/>
    <mergeCell ref="J5:Q6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  <mergeCell ref="A42:H43"/>
    <mergeCell ref="I42:I57"/>
    <mergeCell ref="J42:Q4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D44D-FC7A-417F-8CE3-75B70BF598FC}">
  <dimension ref="A1:Q57"/>
  <sheetViews>
    <sheetView topLeftCell="A28" workbookViewId="0">
      <selection activeCell="F76" sqref="F76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4" t="s">
        <v>21</v>
      </c>
      <c r="J2" s="13" t="s">
        <v>1</v>
      </c>
      <c r="K2" s="14"/>
      <c r="L2" s="14"/>
      <c r="M2" s="14"/>
      <c r="N2" s="14"/>
      <c r="O2" s="14"/>
      <c r="P2" s="14"/>
      <c r="Q2" s="15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5"/>
      <c r="J3" s="16"/>
      <c r="K3" s="17"/>
      <c r="L3" s="17"/>
      <c r="M3" s="17"/>
      <c r="N3" s="17"/>
      <c r="O3" s="17"/>
      <c r="P3" s="17"/>
      <c r="Q3" s="18"/>
    </row>
    <row r="4" spans="1:17" ht="14.25" customHeight="1" x14ac:dyDescent="0.2">
      <c r="H4">
        <v>200</v>
      </c>
      <c r="I4" s="5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4" t="s">
        <v>40</v>
      </c>
      <c r="J5" s="13" t="s">
        <v>1</v>
      </c>
      <c r="K5" s="14"/>
      <c r="L5" s="14"/>
      <c r="M5" s="14"/>
      <c r="N5" s="14"/>
      <c r="O5" s="14"/>
      <c r="P5" s="14"/>
      <c r="Q5" s="15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5"/>
      <c r="J6" s="16"/>
      <c r="K6" s="17"/>
      <c r="L6" s="17"/>
      <c r="M6" s="17"/>
      <c r="N6" s="17"/>
      <c r="O6" s="17"/>
      <c r="P6" s="17"/>
      <c r="Q6" s="18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5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5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6"/>
      <c r="K9" t="s">
        <v>85</v>
      </c>
      <c r="M9">
        <f>M8+2</f>
        <v>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4" t="s">
        <v>76</v>
      </c>
      <c r="J10" s="13" t="s">
        <v>1</v>
      </c>
      <c r="K10" s="14"/>
      <c r="L10" s="14"/>
      <c r="M10" s="14"/>
      <c r="N10" s="14"/>
      <c r="O10" s="14"/>
      <c r="P10" s="14"/>
      <c r="Q10" s="15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5"/>
      <c r="J11" s="16"/>
      <c r="K11" s="17"/>
      <c r="L11" s="17"/>
      <c r="M11" s="17"/>
      <c r="N11" s="17"/>
      <c r="O11" s="17"/>
      <c r="P11" s="17"/>
      <c r="Q11" s="18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5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5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5"/>
      <c r="K14" t="s">
        <v>85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6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4" t="s">
        <v>60</v>
      </c>
      <c r="J16" s="13" t="s">
        <v>1</v>
      </c>
      <c r="K16" s="14"/>
      <c r="L16" s="14"/>
      <c r="M16" s="14"/>
      <c r="N16" s="14"/>
      <c r="O16" s="14"/>
      <c r="P16" s="14"/>
      <c r="Q16" s="15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5"/>
      <c r="J17" s="16"/>
      <c r="K17" s="17"/>
      <c r="L17" s="17"/>
      <c r="M17" s="17"/>
      <c r="N17" s="17"/>
      <c r="O17" s="17"/>
      <c r="P17" s="17"/>
      <c r="Q17" s="18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5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5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5"/>
      <c r="K20" t="s">
        <v>85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6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4" t="s">
        <v>82</v>
      </c>
      <c r="J22" s="13" t="s">
        <v>1</v>
      </c>
      <c r="K22" s="14"/>
      <c r="L22" s="14"/>
      <c r="M22" s="14"/>
      <c r="N22" s="14"/>
      <c r="O22" s="14"/>
      <c r="P22" s="14"/>
      <c r="Q22" s="15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5"/>
      <c r="J23" s="16"/>
      <c r="K23" s="17"/>
      <c r="L23" s="17"/>
      <c r="M23" s="17"/>
      <c r="N23" s="17"/>
      <c r="O23" s="17"/>
      <c r="P23" s="17"/>
      <c r="Q23" s="18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5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5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5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6"/>
      <c r="K27" t="s">
        <v>88</v>
      </c>
      <c r="M27">
        <f>M26+26</f>
        <v>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19" t="s">
        <v>59</v>
      </c>
      <c r="J28" s="13" t="s">
        <v>1</v>
      </c>
      <c r="K28" s="14"/>
      <c r="L28" s="14"/>
      <c r="M28" s="14"/>
      <c r="N28" s="14"/>
      <c r="O28" s="14"/>
      <c r="P28" s="14"/>
      <c r="Q28" s="15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0"/>
      <c r="J29" s="16"/>
      <c r="K29" s="17"/>
      <c r="L29" s="17"/>
      <c r="M29" s="17"/>
      <c r="N29" s="17"/>
      <c r="O29" s="17"/>
      <c r="P29" s="17"/>
      <c r="Q29" s="18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0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0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0"/>
      <c r="K32" t="s">
        <v>85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0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0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0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0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0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0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0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0"/>
    </row>
    <row r="41" spans="1:17" ht="25.5" customHeight="1" x14ac:dyDescent="0.2">
      <c r="B41" t="s">
        <v>89</v>
      </c>
      <c r="D41">
        <f>D40+4</f>
        <v>542</v>
      </c>
      <c r="I41" s="21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4" t="s">
        <v>62</v>
      </c>
      <c r="J42" s="13" t="s">
        <v>1</v>
      </c>
      <c r="K42" s="14"/>
      <c r="L42" s="14"/>
      <c r="M42" s="14"/>
      <c r="N42" s="14"/>
      <c r="O42" s="14"/>
      <c r="P42" s="14"/>
      <c r="Q42" s="15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5"/>
      <c r="J43" s="16"/>
      <c r="K43" s="17"/>
      <c r="L43" s="17"/>
      <c r="M43" s="17"/>
      <c r="N43" s="17"/>
      <c r="O43" s="17"/>
      <c r="P43" s="17"/>
      <c r="Q43" s="18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5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5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5"/>
      <c r="K46" t="s">
        <v>90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5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5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5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5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5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5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5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5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5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5"/>
    </row>
    <row r="57" spans="2:9" x14ac:dyDescent="0.2">
      <c r="B57" t="s">
        <v>92</v>
      </c>
      <c r="D57">
        <f>D56+4</f>
        <v>680</v>
      </c>
      <c r="I57" s="6"/>
    </row>
  </sheetData>
  <mergeCells count="21">
    <mergeCell ref="J42:Q43"/>
    <mergeCell ref="I5:I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3183-C798-4594-9D8B-E2795E4BBB1F}">
  <dimension ref="A1:Q72"/>
  <sheetViews>
    <sheetView topLeftCell="A37" zoomScaleNormal="100" workbookViewId="0">
      <selection activeCell="F65" sqref="F65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4" t="s">
        <v>21</v>
      </c>
      <c r="J2" s="13" t="s">
        <v>1</v>
      </c>
      <c r="K2" s="14"/>
      <c r="L2" s="14"/>
      <c r="M2" s="14"/>
      <c r="N2" s="14"/>
      <c r="O2" s="14"/>
      <c r="P2" s="14"/>
      <c r="Q2" s="15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5"/>
      <c r="J3" s="16"/>
      <c r="K3" s="17"/>
      <c r="L3" s="17"/>
      <c r="M3" s="17"/>
      <c r="N3" s="17"/>
      <c r="O3" s="17"/>
      <c r="P3" s="17"/>
      <c r="Q3" s="18"/>
    </row>
    <row r="4" spans="1:17" ht="14.25" customHeight="1" x14ac:dyDescent="0.2">
      <c r="H4">
        <v>200</v>
      </c>
      <c r="I4" s="5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4" t="s">
        <v>40</v>
      </c>
      <c r="J5" s="13" t="s">
        <v>1</v>
      </c>
      <c r="K5" s="14"/>
      <c r="L5" s="14"/>
      <c r="M5" s="14"/>
      <c r="N5" s="14"/>
      <c r="O5" s="14"/>
      <c r="P5" s="14"/>
      <c r="Q5" s="15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5"/>
      <c r="J6" s="16"/>
      <c r="K6" s="17"/>
      <c r="L6" s="17"/>
      <c r="M6" s="17"/>
      <c r="N6" s="17"/>
      <c r="O6" s="17"/>
      <c r="P6" s="17"/>
      <c r="Q6" s="18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5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5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6"/>
      <c r="K9" t="s">
        <v>85</v>
      </c>
      <c r="M9">
        <f>M8+2</f>
        <v>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4" t="s">
        <v>76</v>
      </c>
      <c r="J10" s="13" t="s">
        <v>1</v>
      </c>
      <c r="K10" s="14"/>
      <c r="L10" s="14"/>
      <c r="M10" s="14"/>
      <c r="N10" s="14"/>
      <c r="O10" s="14"/>
      <c r="P10" s="14"/>
      <c r="Q10" s="15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5"/>
      <c r="J11" s="16"/>
      <c r="K11" s="17"/>
      <c r="L11" s="17"/>
      <c r="M11" s="17"/>
      <c r="N11" s="17"/>
      <c r="O11" s="17"/>
      <c r="P11" s="17"/>
      <c r="Q11" s="18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5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5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5"/>
      <c r="K14" t="s">
        <v>85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6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4" t="s">
        <v>60</v>
      </c>
      <c r="J16" s="13" t="s">
        <v>1</v>
      </c>
      <c r="K16" s="14"/>
      <c r="L16" s="14"/>
      <c r="M16" s="14"/>
      <c r="N16" s="14"/>
      <c r="O16" s="14"/>
      <c r="P16" s="14"/>
      <c r="Q16" s="15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5"/>
      <c r="J17" s="16"/>
      <c r="K17" s="17"/>
      <c r="L17" s="17"/>
      <c r="M17" s="17"/>
      <c r="N17" s="17"/>
      <c r="O17" s="17"/>
      <c r="P17" s="17"/>
      <c r="Q17" s="18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5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5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5"/>
      <c r="K20" t="s">
        <v>85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6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4" t="s">
        <v>82</v>
      </c>
      <c r="J22" s="13" t="s">
        <v>1</v>
      </c>
      <c r="K22" s="14"/>
      <c r="L22" s="14"/>
      <c r="M22" s="14"/>
      <c r="N22" s="14"/>
      <c r="O22" s="14"/>
      <c r="P22" s="14"/>
      <c r="Q22" s="15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5"/>
      <c r="J23" s="16"/>
      <c r="K23" s="17"/>
      <c r="L23" s="17"/>
      <c r="M23" s="17"/>
      <c r="N23" s="17"/>
      <c r="O23" s="17"/>
      <c r="P23" s="17"/>
      <c r="Q23" s="18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5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5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5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6"/>
      <c r="K27" t="s">
        <v>88</v>
      </c>
      <c r="M27">
        <f>M26+26</f>
        <v>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19" t="s">
        <v>59</v>
      </c>
      <c r="J28" s="13" t="s">
        <v>1</v>
      </c>
      <c r="K28" s="14"/>
      <c r="L28" s="14"/>
      <c r="M28" s="14"/>
      <c r="N28" s="14"/>
      <c r="O28" s="14"/>
      <c r="P28" s="14"/>
      <c r="Q28" s="15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0"/>
      <c r="J29" s="16"/>
      <c r="K29" s="17"/>
      <c r="L29" s="17"/>
      <c r="M29" s="17"/>
      <c r="N29" s="17"/>
      <c r="O29" s="17"/>
      <c r="P29" s="17"/>
      <c r="Q29" s="18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0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0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0"/>
      <c r="K32" t="s">
        <v>85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0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0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0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0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0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0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0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0"/>
    </row>
    <row r="41" spans="1:17" ht="25.5" customHeight="1" x14ac:dyDescent="0.2">
      <c r="B41" t="s">
        <v>89</v>
      </c>
      <c r="D41">
        <f>D40+4</f>
        <v>542</v>
      </c>
      <c r="I41" s="21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4" t="s">
        <v>62</v>
      </c>
      <c r="J42" s="13" t="s">
        <v>1</v>
      </c>
      <c r="K42" s="14"/>
      <c r="L42" s="14"/>
      <c r="M42" s="14"/>
      <c r="N42" s="14"/>
      <c r="O42" s="14"/>
      <c r="P42" s="14"/>
      <c r="Q42" s="15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5"/>
      <c r="J43" s="16"/>
      <c r="K43" s="17"/>
      <c r="L43" s="17"/>
      <c r="M43" s="17"/>
      <c r="N43" s="17"/>
      <c r="O43" s="17"/>
      <c r="P43" s="17"/>
      <c r="Q43" s="18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5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5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5"/>
      <c r="K46" t="s">
        <v>90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5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5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5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5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5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5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5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5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5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5"/>
    </row>
    <row r="57" spans="1:17" x14ac:dyDescent="0.2">
      <c r="B57" t="s">
        <v>92</v>
      </c>
      <c r="D57">
        <f>D56+4</f>
        <v>680</v>
      </c>
      <c r="I57" s="6"/>
    </row>
    <row r="58" spans="1:17" ht="14.25" customHeight="1" x14ac:dyDescent="0.2">
      <c r="A58" s="7" t="s">
        <v>0</v>
      </c>
      <c r="B58" s="8"/>
      <c r="C58" s="8"/>
      <c r="D58" s="8"/>
      <c r="E58" s="8"/>
      <c r="F58" s="8"/>
      <c r="G58" s="8"/>
      <c r="H58" s="9"/>
      <c r="I58" s="4" t="s">
        <v>95</v>
      </c>
      <c r="J58" s="13" t="s">
        <v>1</v>
      </c>
      <c r="K58" s="14"/>
      <c r="L58" s="14"/>
      <c r="M58" s="14"/>
      <c r="N58" s="14"/>
      <c r="O58" s="14"/>
      <c r="P58" s="14"/>
      <c r="Q58" s="15"/>
    </row>
    <row r="59" spans="1:17" ht="14.25" customHeight="1" x14ac:dyDescent="0.2">
      <c r="A59" s="10"/>
      <c r="B59" s="11"/>
      <c r="C59" s="11"/>
      <c r="D59" s="11"/>
      <c r="E59" s="11"/>
      <c r="F59" s="11"/>
      <c r="G59" s="11"/>
      <c r="H59" s="12"/>
      <c r="I59" s="5"/>
      <c r="J59" s="16"/>
      <c r="K59" s="17"/>
      <c r="L59" s="17"/>
      <c r="M59" s="17"/>
      <c r="N59" s="17"/>
      <c r="O59" s="17"/>
      <c r="P59" s="17"/>
      <c r="Q59" s="18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5"/>
      <c r="K60" t="s">
        <v>14</v>
      </c>
      <c r="L60" t="s">
        <v>2</v>
      </c>
      <c r="M60">
        <f>M46+196</f>
        <v>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5"/>
      <c r="K61" t="s">
        <v>16</v>
      </c>
      <c r="L61" t="s">
        <v>17</v>
      </c>
      <c r="M61">
        <f>M60+2</f>
        <v>802</v>
      </c>
      <c r="O61" t="s">
        <v>18</v>
      </c>
    </row>
    <row r="62" spans="1:17" ht="14.25" customHeight="1" x14ac:dyDescent="0.2">
      <c r="I62" s="5"/>
    </row>
    <row r="63" spans="1:17" ht="14.25" customHeight="1" x14ac:dyDescent="0.2">
      <c r="I63" s="5"/>
    </row>
    <row r="64" spans="1:17" ht="14.25" customHeight="1" x14ac:dyDescent="0.2">
      <c r="I64" s="5"/>
    </row>
    <row r="65" spans="9:9" ht="14.25" customHeight="1" x14ac:dyDescent="0.2">
      <c r="I65" s="5"/>
    </row>
    <row r="66" spans="9:9" ht="14.25" customHeight="1" x14ac:dyDescent="0.2">
      <c r="I66" s="5"/>
    </row>
    <row r="67" spans="9:9" ht="14.25" customHeight="1" x14ac:dyDescent="0.2">
      <c r="I67" s="5"/>
    </row>
    <row r="68" spans="9:9" ht="14.25" customHeight="1" x14ac:dyDescent="0.2">
      <c r="I68" s="5"/>
    </row>
    <row r="69" spans="9:9" ht="14.25" customHeight="1" x14ac:dyDescent="0.2">
      <c r="I69" s="5"/>
    </row>
    <row r="70" spans="9:9" ht="14.25" customHeight="1" x14ac:dyDescent="0.2">
      <c r="I70" s="5"/>
    </row>
    <row r="71" spans="9:9" ht="14.25" customHeight="1" x14ac:dyDescent="0.2">
      <c r="I71" s="5"/>
    </row>
    <row r="72" spans="9:9" ht="14.25" customHeight="1" x14ac:dyDescent="0.2">
      <c r="I72" s="6"/>
    </row>
  </sheetData>
  <mergeCells count="24">
    <mergeCell ref="J42:Q43"/>
    <mergeCell ref="A58:H59"/>
    <mergeCell ref="I58:I72"/>
    <mergeCell ref="J58:Q59"/>
    <mergeCell ref="I5:I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EFC-B312-4D03-8F95-E6B47005F698}">
  <dimension ref="A1:Q57"/>
  <sheetViews>
    <sheetView topLeftCell="A34" workbookViewId="0">
      <selection sqref="A1:XFD1048576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4" t="s">
        <v>21</v>
      </c>
      <c r="J2" s="13" t="s">
        <v>1</v>
      </c>
      <c r="K2" s="14"/>
      <c r="L2" s="14"/>
      <c r="M2" s="14"/>
      <c r="N2" s="14"/>
      <c r="O2" s="14"/>
      <c r="P2" s="14"/>
      <c r="Q2" s="15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5"/>
      <c r="J3" s="16"/>
      <c r="K3" s="17"/>
      <c r="L3" s="17"/>
      <c r="M3" s="17"/>
      <c r="N3" s="17"/>
      <c r="O3" s="17"/>
      <c r="P3" s="17"/>
      <c r="Q3" s="18"/>
    </row>
    <row r="4" spans="1:17" ht="14.25" customHeight="1" x14ac:dyDescent="0.2">
      <c r="H4">
        <v>200</v>
      </c>
      <c r="I4" s="5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4" t="s">
        <v>40</v>
      </c>
      <c r="J5" s="13" t="s">
        <v>1</v>
      </c>
      <c r="K5" s="14"/>
      <c r="L5" s="14"/>
      <c r="M5" s="14"/>
      <c r="N5" s="14"/>
      <c r="O5" s="14"/>
      <c r="P5" s="14"/>
      <c r="Q5" s="15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5"/>
      <c r="J6" s="16"/>
      <c r="K6" s="17"/>
      <c r="L6" s="17"/>
      <c r="M6" s="17"/>
      <c r="N6" s="17"/>
      <c r="O6" s="17"/>
      <c r="P6" s="17"/>
      <c r="Q6" s="18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5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5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6"/>
      <c r="K9" t="s">
        <v>85</v>
      </c>
      <c r="M9">
        <f>M8+2</f>
        <v>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4" t="s">
        <v>76</v>
      </c>
      <c r="J10" s="13" t="s">
        <v>1</v>
      </c>
      <c r="K10" s="14"/>
      <c r="L10" s="14"/>
      <c r="M10" s="14"/>
      <c r="N10" s="14"/>
      <c r="O10" s="14"/>
      <c r="P10" s="14"/>
      <c r="Q10" s="15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5"/>
      <c r="J11" s="16"/>
      <c r="K11" s="17"/>
      <c r="L11" s="17"/>
      <c r="M11" s="17"/>
      <c r="N11" s="17"/>
      <c r="O11" s="17"/>
      <c r="P11" s="17"/>
      <c r="Q11" s="18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5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5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5"/>
      <c r="K14" t="s">
        <v>85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6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4" t="s">
        <v>60</v>
      </c>
      <c r="J16" s="13" t="s">
        <v>1</v>
      </c>
      <c r="K16" s="14"/>
      <c r="L16" s="14"/>
      <c r="M16" s="14"/>
      <c r="N16" s="14"/>
      <c r="O16" s="14"/>
      <c r="P16" s="14"/>
      <c r="Q16" s="15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5"/>
      <c r="J17" s="16"/>
      <c r="K17" s="17"/>
      <c r="L17" s="17"/>
      <c r="M17" s="17"/>
      <c r="N17" s="17"/>
      <c r="O17" s="17"/>
      <c r="P17" s="17"/>
      <c r="Q17" s="18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5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5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5"/>
      <c r="K20" t="s">
        <v>85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6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4" t="s">
        <v>82</v>
      </c>
      <c r="J22" s="13" t="s">
        <v>1</v>
      </c>
      <c r="K22" s="14"/>
      <c r="L22" s="14"/>
      <c r="M22" s="14"/>
      <c r="N22" s="14"/>
      <c r="O22" s="14"/>
      <c r="P22" s="14"/>
      <c r="Q22" s="15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5"/>
      <c r="J23" s="16"/>
      <c r="K23" s="17"/>
      <c r="L23" s="17"/>
      <c r="M23" s="17"/>
      <c r="N23" s="17"/>
      <c r="O23" s="17"/>
      <c r="P23" s="17"/>
      <c r="Q23" s="18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5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5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5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6"/>
      <c r="K27" t="s">
        <v>88</v>
      </c>
      <c r="M27">
        <f>M26+26</f>
        <v>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19" t="s">
        <v>59</v>
      </c>
      <c r="J28" s="13" t="s">
        <v>1</v>
      </c>
      <c r="K28" s="14"/>
      <c r="L28" s="14"/>
      <c r="M28" s="14"/>
      <c r="N28" s="14"/>
      <c r="O28" s="14"/>
      <c r="P28" s="14"/>
      <c r="Q28" s="15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0"/>
      <c r="J29" s="16"/>
      <c r="K29" s="17"/>
      <c r="L29" s="17"/>
      <c r="M29" s="17"/>
      <c r="N29" s="17"/>
      <c r="O29" s="17"/>
      <c r="P29" s="17"/>
      <c r="Q29" s="18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0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0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0"/>
      <c r="K32" t="s">
        <v>85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0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0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0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0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0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0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0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0"/>
    </row>
    <row r="41" spans="1:17" ht="25.5" customHeight="1" x14ac:dyDescent="0.2">
      <c r="B41" t="s">
        <v>89</v>
      </c>
      <c r="D41">
        <f>D40+4</f>
        <v>542</v>
      </c>
      <c r="I41" s="21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4" t="s">
        <v>62</v>
      </c>
      <c r="J42" s="13" t="s">
        <v>1</v>
      </c>
      <c r="K42" s="14"/>
      <c r="L42" s="14"/>
      <c r="M42" s="14"/>
      <c r="N42" s="14"/>
      <c r="O42" s="14"/>
      <c r="P42" s="14"/>
      <c r="Q42" s="15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5"/>
      <c r="J43" s="16"/>
      <c r="K43" s="17"/>
      <c r="L43" s="17"/>
      <c r="M43" s="17"/>
      <c r="N43" s="17"/>
      <c r="O43" s="17"/>
      <c r="P43" s="17"/>
      <c r="Q43" s="18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5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5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96</v>
      </c>
      <c r="C46" t="s">
        <v>97</v>
      </c>
      <c r="D46">
        <f>D45+2</f>
        <v>604</v>
      </c>
      <c r="F46" t="s">
        <v>98</v>
      </c>
      <c r="I46" s="5"/>
    </row>
    <row r="47" spans="1:17" ht="14.25" customHeight="1" x14ac:dyDescent="0.2">
      <c r="I47" s="5"/>
    </row>
    <row r="48" spans="1:17" ht="14.25" customHeight="1" x14ac:dyDescent="0.2">
      <c r="I48" s="5"/>
    </row>
    <row r="49" spans="9:9" ht="14.25" customHeight="1" x14ac:dyDescent="0.2">
      <c r="I49" s="5"/>
    </row>
    <row r="50" spans="9:9" ht="14.25" customHeight="1" x14ac:dyDescent="0.2">
      <c r="I50" s="5"/>
    </row>
    <row r="51" spans="9:9" ht="14.25" customHeight="1" x14ac:dyDescent="0.2">
      <c r="I51" s="5"/>
    </row>
    <row r="52" spans="9:9" ht="14.25" customHeight="1" x14ac:dyDescent="0.2">
      <c r="I52" s="5"/>
    </row>
    <row r="53" spans="9:9" ht="14.25" customHeight="1" x14ac:dyDescent="0.2">
      <c r="I53" s="5"/>
    </row>
    <row r="54" spans="9:9" ht="14.25" customHeight="1" x14ac:dyDescent="0.2">
      <c r="I54" s="5"/>
    </row>
    <row r="55" spans="9:9" ht="14.25" customHeight="1" x14ac:dyDescent="0.2">
      <c r="I55" s="5"/>
    </row>
    <row r="56" spans="9:9" ht="14.25" customHeight="1" x14ac:dyDescent="0.2">
      <c r="I56" s="5"/>
    </row>
    <row r="57" spans="9:9" x14ac:dyDescent="0.2">
      <c r="I57" s="6"/>
    </row>
  </sheetData>
  <mergeCells count="21">
    <mergeCell ref="A42:H43"/>
    <mergeCell ref="I42:I57"/>
    <mergeCell ref="J42:Q43"/>
    <mergeCell ref="A22:H23"/>
    <mergeCell ref="I22:I27"/>
    <mergeCell ref="J22:Q23"/>
    <mergeCell ref="A28:H29"/>
    <mergeCell ref="I28:I41"/>
    <mergeCell ref="J28:Q2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I5:I9"/>
    <mergeCell ref="J5:Q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8AE5-1BC4-4916-8BAA-BD6EBA04CBAD}">
  <dimension ref="E10:G15"/>
  <sheetViews>
    <sheetView tabSelected="1" workbookViewId="0">
      <selection sqref="A1:XFD1048576"/>
    </sheetView>
  </sheetViews>
  <sheetFormatPr defaultRowHeight="14.25" x14ac:dyDescent="0.2"/>
  <cols>
    <col min="2" max="2" width="12.5" bestFit="1" customWidth="1"/>
    <col min="5" max="5" width="12.5" bestFit="1" customWidth="1"/>
  </cols>
  <sheetData>
    <row r="10" spans="5:7" x14ac:dyDescent="0.2">
      <c r="E10" s="23" t="s">
        <v>7</v>
      </c>
      <c r="F10" s="23" t="s">
        <v>8</v>
      </c>
      <c r="G10" s="23" t="s">
        <v>99</v>
      </c>
    </row>
    <row r="11" spans="5:7" x14ac:dyDescent="0.2">
      <c r="E11" s="24" t="s">
        <v>100</v>
      </c>
      <c r="F11" s="24" t="s">
        <v>101</v>
      </c>
      <c r="G11" s="24" t="s">
        <v>102</v>
      </c>
    </row>
    <row r="12" spans="5:7" x14ac:dyDescent="0.2">
      <c r="E12" s="24" t="s">
        <v>103</v>
      </c>
      <c r="F12" s="24" t="s">
        <v>101</v>
      </c>
      <c r="G12" s="24" t="s">
        <v>104</v>
      </c>
    </row>
    <row r="13" spans="5:7" x14ac:dyDescent="0.2">
      <c r="E13" s="24" t="s">
        <v>105</v>
      </c>
      <c r="F13" s="24" t="s">
        <v>101</v>
      </c>
      <c r="G13" s="24" t="s">
        <v>106</v>
      </c>
    </row>
    <row r="14" spans="5:7" x14ac:dyDescent="0.2">
      <c r="E14" s="24" t="s">
        <v>107</v>
      </c>
      <c r="F14" s="24" t="s">
        <v>108</v>
      </c>
      <c r="G14" s="24" t="s">
        <v>109</v>
      </c>
    </row>
    <row r="15" spans="5:7" x14ac:dyDescent="0.2">
      <c r="E15" s="24" t="s">
        <v>110</v>
      </c>
      <c r="F15" s="24" t="s">
        <v>108</v>
      </c>
      <c r="G15" s="24" t="s">
        <v>111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EC3A-BB71-4DD8-9B6B-1EF8D7FC4A79}">
  <dimension ref="A1:Q57"/>
  <sheetViews>
    <sheetView topLeftCell="A16" workbookViewId="0">
      <selection activeCell="F64" sqref="F64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4" t="s">
        <v>21</v>
      </c>
      <c r="J2" s="13" t="s">
        <v>1</v>
      </c>
      <c r="K2" s="14"/>
      <c r="L2" s="14"/>
      <c r="M2" s="14"/>
      <c r="N2" s="14"/>
      <c r="O2" s="14"/>
      <c r="P2" s="14"/>
      <c r="Q2" s="15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5"/>
      <c r="J3" s="16"/>
      <c r="K3" s="17"/>
      <c r="L3" s="17"/>
      <c r="M3" s="17"/>
      <c r="N3" s="17"/>
      <c r="O3" s="17"/>
      <c r="P3" s="17"/>
      <c r="Q3" s="18"/>
    </row>
    <row r="4" spans="1:17" ht="14.25" customHeight="1" x14ac:dyDescent="0.2">
      <c r="H4">
        <v>200</v>
      </c>
      <c r="I4" s="5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4" t="s">
        <v>40</v>
      </c>
      <c r="J5" s="13" t="s">
        <v>1</v>
      </c>
      <c r="K5" s="14"/>
      <c r="L5" s="14"/>
      <c r="M5" s="14"/>
      <c r="N5" s="14"/>
      <c r="O5" s="14"/>
      <c r="P5" s="14"/>
      <c r="Q5" s="15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5"/>
      <c r="J6" s="16"/>
      <c r="K6" s="17"/>
      <c r="L6" s="17"/>
      <c r="M6" s="17"/>
      <c r="N6" s="17"/>
      <c r="O6" s="17"/>
      <c r="P6" s="17"/>
      <c r="Q6" s="18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5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5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6"/>
      <c r="K9" t="s">
        <v>85</v>
      </c>
      <c r="M9">
        <f>M8+2</f>
        <v>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4" t="s">
        <v>76</v>
      </c>
      <c r="J10" s="13" t="s">
        <v>1</v>
      </c>
      <c r="K10" s="14"/>
      <c r="L10" s="14"/>
      <c r="M10" s="14"/>
      <c r="N10" s="14"/>
      <c r="O10" s="14"/>
      <c r="P10" s="14"/>
      <c r="Q10" s="15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5"/>
      <c r="J11" s="16"/>
      <c r="K11" s="17"/>
      <c r="L11" s="17"/>
      <c r="M11" s="17"/>
      <c r="N11" s="17"/>
      <c r="O11" s="17"/>
      <c r="P11" s="17"/>
      <c r="Q11" s="18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5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5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5"/>
      <c r="K14" t="s">
        <v>85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6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4" t="s">
        <v>60</v>
      </c>
      <c r="J16" s="13" t="s">
        <v>1</v>
      </c>
      <c r="K16" s="14"/>
      <c r="L16" s="14"/>
      <c r="M16" s="14"/>
      <c r="N16" s="14"/>
      <c r="O16" s="14"/>
      <c r="P16" s="14"/>
      <c r="Q16" s="15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5"/>
      <c r="J17" s="16"/>
      <c r="K17" s="17"/>
      <c r="L17" s="17"/>
      <c r="M17" s="17"/>
      <c r="N17" s="17"/>
      <c r="O17" s="17"/>
      <c r="P17" s="17"/>
      <c r="Q17" s="18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5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5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5"/>
      <c r="K20" t="s">
        <v>85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6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4" t="s">
        <v>82</v>
      </c>
      <c r="J22" s="13" t="s">
        <v>1</v>
      </c>
      <c r="K22" s="14"/>
      <c r="L22" s="14"/>
      <c r="M22" s="14"/>
      <c r="N22" s="14"/>
      <c r="O22" s="14"/>
      <c r="P22" s="14"/>
      <c r="Q22" s="15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5"/>
      <c r="J23" s="16"/>
      <c r="K23" s="17"/>
      <c r="L23" s="17"/>
      <c r="M23" s="17"/>
      <c r="N23" s="17"/>
      <c r="O23" s="17"/>
      <c r="P23" s="17"/>
      <c r="Q23" s="18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5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5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5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6"/>
      <c r="K27" t="s">
        <v>88</v>
      </c>
      <c r="M27">
        <f>M26+26</f>
        <v>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19" t="s">
        <v>59</v>
      </c>
      <c r="J28" s="13" t="s">
        <v>1</v>
      </c>
      <c r="K28" s="14"/>
      <c r="L28" s="14"/>
      <c r="M28" s="14"/>
      <c r="N28" s="14"/>
      <c r="O28" s="14"/>
      <c r="P28" s="14"/>
      <c r="Q28" s="15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0"/>
      <c r="J29" s="16"/>
      <c r="K29" s="17"/>
      <c r="L29" s="17"/>
      <c r="M29" s="17"/>
      <c r="N29" s="17"/>
      <c r="O29" s="17"/>
      <c r="P29" s="17"/>
      <c r="Q29" s="18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0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0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0"/>
      <c r="K32" t="s">
        <v>85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0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0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0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0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0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0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0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0"/>
    </row>
    <row r="41" spans="1:17" ht="25.5" customHeight="1" x14ac:dyDescent="0.2">
      <c r="B41" t="s">
        <v>89</v>
      </c>
      <c r="D41">
        <f>D40+4</f>
        <v>542</v>
      </c>
      <c r="I41" s="21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4" t="s">
        <v>62</v>
      </c>
      <c r="J42" s="13" t="s">
        <v>1</v>
      </c>
      <c r="K42" s="14"/>
      <c r="L42" s="14"/>
      <c r="M42" s="14"/>
      <c r="N42" s="14"/>
      <c r="O42" s="14"/>
      <c r="P42" s="14"/>
      <c r="Q42" s="15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5"/>
      <c r="J43" s="16"/>
      <c r="K43" s="17"/>
      <c r="L43" s="17"/>
      <c r="M43" s="17"/>
      <c r="N43" s="17"/>
      <c r="O43" s="17"/>
      <c r="P43" s="17"/>
      <c r="Q43" s="18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5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5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5"/>
      <c r="K46" t="s">
        <v>90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5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5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5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5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5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5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5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5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5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5"/>
    </row>
    <row r="57" spans="2:9" x14ac:dyDescent="0.2">
      <c r="B57" t="s">
        <v>92</v>
      </c>
      <c r="D57">
        <f>D56+4</f>
        <v>680</v>
      </c>
      <c r="I57" s="6"/>
    </row>
  </sheetData>
  <mergeCells count="21">
    <mergeCell ref="J42:Q43"/>
    <mergeCell ref="I5:I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下箱体涂胶</vt:lpstr>
      <vt:lpstr>正置加压</vt:lpstr>
      <vt:lpstr>Beam间隙涂胶</vt:lpstr>
      <vt:lpstr>肩部涂胶</vt:lpstr>
      <vt:lpstr>压条加压</vt:lpstr>
      <vt:lpstr>上盖拧紧</vt:lpstr>
      <vt:lpstr>拧紧Array参数</vt:lpstr>
      <vt:lpstr>Beam底部间隙涂胶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2015-06-05T18:19:34Z</dcterms:created>
  <dcterms:modified xsi:type="dcterms:W3CDTF">2026-01-20T07:07:21Z</dcterms:modified>
</cp:coreProperties>
</file>