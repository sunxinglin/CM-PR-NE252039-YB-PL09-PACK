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525"/>
  </bookViews>
  <sheets>
    <sheet name="模组入箱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<sst xmlns="http://schemas.openxmlformats.org/spreadsheetml/2006/main" count="462" uniqueCount="169">
  <si>
    <t>序号</t>
  </si>
  <si>
    <t>变量名</t>
  </si>
  <si>
    <t>数据类型</t>
  </si>
  <si>
    <t>起始地址</t>
  </si>
  <si>
    <t>位</t>
  </si>
  <si>
    <t>定义</t>
  </si>
  <si>
    <t>长度</t>
  </si>
  <si>
    <t>DB</t>
  </si>
  <si>
    <t>接口</t>
  </si>
  <si>
    <t>PLC====&gt;上位机</t>
  </si>
  <si>
    <t>获取模组码</t>
  </si>
  <si>
    <t>上位机====&gt;PLC</t>
  </si>
  <si>
    <t>StartSignal</t>
  </si>
  <si>
    <t>Bool</t>
  </si>
  <si>
    <t>触发信号：上位机检测上升沿后进行读取</t>
  </si>
  <si>
    <t>FinishSignal</t>
  </si>
  <si>
    <t>完成信号，PLC收到完成信号后进行判断</t>
  </si>
  <si>
    <t>CellCode</t>
  </si>
  <si>
    <t>String[24]</t>
  </si>
  <si>
    <t>扫描电芯码</t>
  </si>
  <si>
    <t>ResCode</t>
  </si>
  <si>
    <t>Int</t>
  </si>
  <si>
    <t>工厂MES返回代码，＞0NG，＝0合格。</t>
  </si>
  <si>
    <t>SFC</t>
  </si>
  <si>
    <t>校验模组号，由释放校验模组号接口转移过来</t>
  </si>
  <si>
    <t>MES输出的模组码</t>
  </si>
  <si>
    <t>PN</t>
  </si>
  <si>
    <t>MES输出的PN</t>
  </si>
  <si>
    <t>校验模组库存</t>
  </si>
  <si>
    <t>模组号</t>
  </si>
  <si>
    <t>校验是否可入箱</t>
  </si>
  <si>
    <t>PackCode</t>
  </si>
  <si>
    <t>PLC传递的pack码</t>
  </si>
  <si>
    <t>PLC传递的模组号</t>
  </si>
  <si>
    <t>PnCode</t>
  </si>
  <si>
    <t>返回给PLC做匹对</t>
  </si>
  <si>
    <t>SoltNo</t>
  </si>
  <si>
    <t>当前Pack上的位置号</t>
  </si>
  <si>
    <t>获取PACK涂胶时间</t>
  </si>
  <si>
    <t>AgvCode</t>
  </si>
  <si>
    <t>PLC传递的Pack小车的小车号</t>
  </si>
  <si>
    <t>Year</t>
  </si>
  <si>
    <t>int</t>
  </si>
  <si>
    <t>涂胶开始时间的年</t>
  </si>
  <si>
    <t>Month</t>
  </si>
  <si>
    <t>涂胶开始时间的月</t>
  </si>
  <si>
    <t>Day</t>
  </si>
  <si>
    <t>涂胶开始时间的日</t>
  </si>
  <si>
    <t>Hour</t>
  </si>
  <si>
    <t>涂胶开始时间的时</t>
  </si>
  <si>
    <t>Minute</t>
  </si>
  <si>
    <t>涂胶开始时间的分</t>
  </si>
  <si>
    <t>Seconds</t>
  </si>
  <si>
    <t>涂胶开始时间的秒</t>
  </si>
  <si>
    <t>PACK进站</t>
  </si>
  <si>
    <t>上位机报错代码</t>
  </si>
  <si>
    <t>PackSolt</t>
  </si>
  <si>
    <t xml:space="preserve">int </t>
  </si>
  <si>
    <t>需要入的卡槽</t>
  </si>
  <si>
    <t>PACK装配</t>
  </si>
  <si>
    <t>ModulCode</t>
  </si>
  <si>
    <t>PACK收数+出站</t>
  </si>
  <si>
    <t>SFC1是否启用</t>
  </si>
  <si>
    <t>SFC2是否启用</t>
  </si>
  <si>
    <t>SFC3是否启用</t>
  </si>
  <si>
    <t>SFC4是否启用</t>
  </si>
  <si>
    <t>SFC5是否启用</t>
  </si>
  <si>
    <t>SFC6是否启用</t>
  </si>
  <si>
    <t>SFC7是否启用</t>
  </si>
  <si>
    <t>SFC8是否启用</t>
  </si>
  <si>
    <t>SFC9是否启用</t>
  </si>
  <si>
    <t>SFC10是否启用</t>
  </si>
  <si>
    <t>是否出站</t>
  </si>
  <si>
    <t>PACK码进站校验模组号</t>
  </si>
  <si>
    <t>SFC1</t>
  </si>
  <si>
    <t>模组码1</t>
  </si>
  <si>
    <t>SFC2</t>
  </si>
  <si>
    <t>模组码2</t>
  </si>
  <si>
    <t>SFC3</t>
  </si>
  <si>
    <t>模组码3</t>
  </si>
  <si>
    <t>SFC4</t>
  </si>
  <si>
    <t>预留</t>
  </si>
  <si>
    <t>SFC5</t>
  </si>
  <si>
    <t>SFC6</t>
  </si>
  <si>
    <t>SFC7</t>
  </si>
  <si>
    <t>SFC8</t>
  </si>
  <si>
    <t>SFC9</t>
  </si>
  <si>
    <t>SFC10</t>
  </si>
  <si>
    <t>模组夹紧力1</t>
  </si>
  <si>
    <t>real</t>
  </si>
  <si>
    <t>模组1端夹1</t>
  </si>
  <si>
    <t>模组夹紧力2</t>
  </si>
  <si>
    <t>模组1端夹2</t>
  </si>
  <si>
    <t>模组夹紧力3</t>
  </si>
  <si>
    <t>模组2端夹1</t>
  </si>
  <si>
    <t>模组夹紧力4</t>
  </si>
  <si>
    <t>模组2端夹2</t>
  </si>
  <si>
    <t>模组夹紧力5</t>
  </si>
  <si>
    <t>模组3端夹1</t>
  </si>
  <si>
    <t>模组夹紧力6</t>
  </si>
  <si>
    <t>模组3端夹2</t>
  </si>
  <si>
    <t>模组夹紧力7</t>
  </si>
  <si>
    <t>模组夹紧力8</t>
  </si>
  <si>
    <t>模组夹紧力9</t>
  </si>
  <si>
    <t>模组夹紧力10</t>
  </si>
  <si>
    <t>模组夹紧力11</t>
  </si>
  <si>
    <t>模组夹紧力12</t>
  </si>
  <si>
    <t>模组夹紧力13</t>
  </si>
  <si>
    <t>模组夹紧力14</t>
  </si>
  <si>
    <t>模组夹紧力15</t>
  </si>
  <si>
    <t>模组夹紧力16</t>
  </si>
  <si>
    <t>模组夹紧力17</t>
  </si>
  <si>
    <t>模组夹紧力18</t>
  </si>
  <si>
    <t>模组夹紧力19</t>
  </si>
  <si>
    <t>模组夹紧力20</t>
  </si>
  <si>
    <t>模组下压保压时间1</t>
  </si>
  <si>
    <t>模组下压保压时间2</t>
  </si>
  <si>
    <t>模组下压保压时间3</t>
  </si>
  <si>
    <t>模组下压保压时间4</t>
  </si>
  <si>
    <t>模组下压保压时间5</t>
  </si>
  <si>
    <t>模组下压保压时间6</t>
  </si>
  <si>
    <t>模组下压保压时间7</t>
  </si>
  <si>
    <t>模组下压保压时间8</t>
  </si>
  <si>
    <t>模组下压保压时间9</t>
  </si>
  <si>
    <t>模组下压保压时间10</t>
  </si>
  <si>
    <t>模组下压压力1</t>
  </si>
  <si>
    <t>模组下压压力2</t>
  </si>
  <si>
    <t>模组下压压力3</t>
  </si>
  <si>
    <t>模组下压压力4</t>
  </si>
  <si>
    <t>模组下压压力5</t>
  </si>
  <si>
    <t>模组下压压力6</t>
  </si>
  <si>
    <t>模组下压压力7</t>
  </si>
  <si>
    <t>模组下压压力8</t>
  </si>
  <si>
    <t>模组下压压力9</t>
  </si>
  <si>
    <t>模组下压压力10</t>
  </si>
  <si>
    <t>模组长度1</t>
  </si>
  <si>
    <t>模组长度2</t>
  </si>
  <si>
    <t>模组长度3</t>
  </si>
  <si>
    <t>模组长度4</t>
  </si>
  <si>
    <t>模组长度5</t>
  </si>
  <si>
    <t>模组长度6</t>
  </si>
  <si>
    <t>模组长度7</t>
  </si>
  <si>
    <t>模组长度8</t>
  </si>
  <si>
    <t>模组长度9</t>
  </si>
  <si>
    <t>模组长度10</t>
  </si>
  <si>
    <t>下压行程1</t>
  </si>
  <si>
    <t>下压行程2</t>
  </si>
  <si>
    <t>下压行程3</t>
  </si>
  <si>
    <t>下压行程4</t>
  </si>
  <si>
    <t>下压行程5</t>
  </si>
  <si>
    <t>下压行程6</t>
  </si>
  <si>
    <t>下压行程7</t>
  </si>
  <si>
    <t>下压行程8</t>
  </si>
  <si>
    <t>下压行程9</t>
  </si>
  <si>
    <t>下压行程10</t>
  </si>
  <si>
    <t>切换蓝本</t>
  </si>
  <si>
    <t>蓝本号</t>
  </si>
  <si>
    <t>1，2，3，4，</t>
  </si>
  <si>
    <t>下箱体总共有需要多少个模组（4，8，12）</t>
  </si>
  <si>
    <t>心跳</t>
  </si>
  <si>
    <t>Heartbeat</t>
  </si>
  <si>
    <t>心跳，上位机每500MS取反写入一次</t>
  </si>
  <si>
    <t>刷卡</t>
  </si>
  <si>
    <t>UserCardId</t>
  </si>
  <si>
    <t>员工卡ID</t>
  </si>
  <si>
    <t>WorkId</t>
  </si>
  <si>
    <t>员工工号</t>
  </si>
  <si>
    <t>AccessLevel</t>
  </si>
  <si>
    <t>权限等级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</si>
</sst>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205060"/>
      <name val="SimSun"/>
      <charset val="134"/>
    </font>
    <font>
      <sz val="11"/>
      <color rgb="FF000000"/>
      <name val="宋体"/>
      <charset val="134"/>
      <scheme val="minor"/>
    </font>
    <font>
      <b/>
      <sz val="20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11" applyNumberFormat="0" applyAlignment="0" applyProtection="0">
      <alignment vertical="center"/>
    </xf>
    <xf numFmtId="0" fontId="18" fillId="8" borderId="12" applyNumberFormat="0" applyAlignment="0" applyProtection="0">
      <alignment vertical="center"/>
    </xf>
    <xf numFmtId="0" fontId="19" fillId="8" borderId="11" applyNumberFormat="0" applyAlignment="0" applyProtection="0">
      <alignment vertical="center"/>
    </xf>
    <xf numFmtId="0" fontId="20" fillId="9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45">
    <xf numFmtId="0" fontId="0" fillId="0" borderId="0" xfId="0"/>
    <xf numFmtId="0" fontId="0" fillId="0" borderId="0" xfId="0" applyFont="1"/>
    <xf numFmtId="0" fontId="0" fillId="2" borderId="0" xfId="0" applyFill="1"/>
    <xf numFmtId="0" fontId="0" fillId="0" borderId="0" xfId="0" applyFill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right"/>
    </xf>
    <xf numFmtId="0" fontId="0" fillId="3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4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left"/>
    </xf>
    <xf numFmtId="0" fontId="0" fillId="2" borderId="0" xfId="0" applyFont="1" applyFill="1" applyAlignment="1">
      <alignment horizontal="right"/>
    </xf>
    <xf numFmtId="0" fontId="2" fillId="4" borderId="0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0" xfId="0" applyFont="1"/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5" fillId="0" borderId="0" xfId="0" applyNumberFormat="1" applyFont="1" applyFill="1" applyBorder="1" applyAlignment="1">
      <alignment horizontal="left" vertical="center" wrapText="1"/>
    </xf>
    <xf numFmtId="0" fontId="6" fillId="0" borderId="0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horizontal="right" vertical="center" wrapText="1"/>
    </xf>
    <xf numFmtId="0" fontId="7" fillId="0" borderId="0" xfId="0" applyFont="1"/>
    <xf numFmtId="0" fontId="8" fillId="3" borderId="4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3" borderId="5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8"/>
  <sheetViews>
    <sheetView tabSelected="1" topLeftCell="B1" workbookViewId="0">
      <selection activeCell="B1" sqref="$A1:$XFD1048576"/>
    </sheetView>
  </sheetViews>
  <sheetFormatPr defaultColWidth="9" defaultRowHeight="13.5"/>
  <cols>
    <col min="1" max="1" width="6.5" customWidth="1"/>
    <col min="2" max="2" width="19.375" customWidth="1"/>
    <col min="3" max="4" width="11.375" customWidth="1"/>
    <col min="5" max="5" width="4.125" customWidth="1"/>
    <col min="6" max="6" width="42.125" customWidth="1"/>
    <col min="7" max="8" width="6.5" customWidth="1"/>
    <col min="9" max="9" width="34.75" style="3" customWidth="1"/>
    <col min="10" max="10" width="6.5" customWidth="1"/>
    <col min="11" max="11" width="15.625" customWidth="1"/>
    <col min="12" max="13" width="11.375" customWidth="1"/>
    <col min="14" max="14" width="4.125" customWidth="1"/>
    <col min="15" max="15" width="37.125" customWidth="1"/>
    <col min="16" max="17" width="6.5" customWidth="1"/>
  </cols>
  <sheetData>
    <row r="1" ht="18.75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0</v>
      </c>
      <c r="K1" s="6" t="s">
        <v>1</v>
      </c>
      <c r="L1" s="6" t="s">
        <v>2</v>
      </c>
      <c r="M1" s="6" t="s">
        <v>3</v>
      </c>
      <c r="N1" s="6" t="s">
        <v>4</v>
      </c>
      <c r="O1" s="6" t="s">
        <v>5</v>
      </c>
      <c r="P1" s="6" t="s">
        <v>6</v>
      </c>
      <c r="Q1" s="6" t="s">
        <v>7</v>
      </c>
    </row>
    <row r="2" ht="14.25" customHeight="1" spans="1:17">
      <c r="A2" s="7" t="s">
        <v>9</v>
      </c>
      <c r="B2" s="7"/>
      <c r="C2" s="7"/>
      <c r="D2" s="7"/>
      <c r="E2" s="7"/>
      <c r="F2" s="7"/>
      <c r="G2" s="7"/>
      <c r="H2" s="7"/>
      <c r="I2" s="8" t="s">
        <v>10</v>
      </c>
      <c r="J2" s="9" t="s">
        <v>11</v>
      </c>
      <c r="K2" s="9"/>
      <c r="L2" s="9"/>
      <c r="M2" s="9"/>
      <c r="N2" s="9"/>
      <c r="O2" s="9"/>
      <c r="P2" s="9"/>
      <c r="Q2" s="9"/>
    </row>
    <row r="3" ht="14.25" customHeight="1" spans="1:17">
      <c r="A3" s="7"/>
      <c r="B3" s="7"/>
      <c r="C3" s="7"/>
      <c r="D3" s="7"/>
      <c r="E3" s="7"/>
      <c r="F3" s="7"/>
      <c r="G3" s="7"/>
      <c r="H3" s="7"/>
      <c r="I3" s="10"/>
      <c r="J3" s="9"/>
      <c r="K3" s="9"/>
      <c r="L3" s="9"/>
      <c r="M3" s="9"/>
      <c r="N3" s="9"/>
      <c r="O3" s="9"/>
      <c r="P3" s="9"/>
      <c r="Q3" s="9"/>
    </row>
    <row r="4" customFormat="1" spans="1:17">
      <c r="A4">
        <v>1</v>
      </c>
      <c r="B4" t="s">
        <v>12</v>
      </c>
      <c r="C4" t="s">
        <v>13</v>
      </c>
      <c r="D4">
        <v>2</v>
      </c>
      <c r="F4" t="s">
        <v>14</v>
      </c>
      <c r="H4">
        <v>200</v>
      </c>
      <c r="I4" s="10"/>
      <c r="J4">
        <v>1</v>
      </c>
      <c r="K4" t="s">
        <v>15</v>
      </c>
      <c r="L4" t="s">
        <v>13</v>
      </c>
      <c r="M4">
        <v>3000</v>
      </c>
      <c r="O4" t="s">
        <v>16</v>
      </c>
      <c r="Q4">
        <v>200</v>
      </c>
    </row>
    <row r="5" customFormat="1" spans="1:17">
      <c r="A5">
        <v>2</v>
      </c>
      <c r="B5" t="s">
        <v>17</v>
      </c>
      <c r="C5" t="s">
        <v>18</v>
      </c>
      <c r="D5">
        <v>4</v>
      </c>
      <c r="F5" t="s">
        <v>19</v>
      </c>
      <c r="G5">
        <v>26</v>
      </c>
      <c r="H5">
        <v>200</v>
      </c>
      <c r="I5" s="10"/>
      <c r="J5">
        <v>2</v>
      </c>
      <c r="K5" t="s">
        <v>20</v>
      </c>
      <c r="L5" t="s">
        <v>21</v>
      </c>
      <c r="M5">
        <v>3002</v>
      </c>
      <c r="O5" t="s">
        <v>22</v>
      </c>
      <c r="Q5">
        <v>200</v>
      </c>
    </row>
    <row r="6" customFormat="1" spans="1:17">
      <c r="A6">
        <v>3</v>
      </c>
      <c r="B6" t="s">
        <v>23</v>
      </c>
      <c r="C6" t="s">
        <v>18</v>
      </c>
      <c r="D6">
        <v>30</v>
      </c>
      <c r="F6" t="s">
        <v>24</v>
      </c>
      <c r="H6">
        <v>200</v>
      </c>
      <c r="I6" s="10"/>
      <c r="J6">
        <v>3</v>
      </c>
      <c r="K6" t="s">
        <v>23</v>
      </c>
      <c r="L6" t="s">
        <v>18</v>
      </c>
      <c r="M6">
        <v>3004</v>
      </c>
      <c r="O6" t="s">
        <v>25</v>
      </c>
      <c r="Q6">
        <v>200</v>
      </c>
    </row>
    <row r="7" s="1" customFormat="1" ht="13" customHeight="1" spans="1:17">
      <c r="A7" s="11">
        <v>4</v>
      </c>
      <c r="B7" s="12"/>
      <c r="C7" s="13"/>
      <c r="D7" s="13"/>
      <c r="E7" s="13"/>
      <c r="F7" s="13"/>
      <c r="G7" s="13"/>
      <c r="H7" s="13"/>
      <c r="I7" s="14"/>
      <c r="J7" s="1">
        <v>4</v>
      </c>
      <c r="K7" s="15" t="s">
        <v>26</v>
      </c>
      <c r="L7" s="15" t="s">
        <v>18</v>
      </c>
      <c r="M7" s="16">
        <v>3030</v>
      </c>
      <c r="N7" s="13"/>
      <c r="O7" s="15" t="s">
        <v>27</v>
      </c>
      <c r="P7" s="13"/>
      <c r="Q7">
        <v>200</v>
      </c>
    </row>
    <row r="8" customFormat="1" ht="14.25" customHeight="1" spans="1:17">
      <c r="A8" s="7" t="s">
        <v>9</v>
      </c>
      <c r="B8" s="7"/>
      <c r="C8" s="7"/>
      <c r="D8" s="7"/>
      <c r="E8" s="7"/>
      <c r="F8" s="7"/>
      <c r="G8" s="7"/>
      <c r="H8" s="7"/>
      <c r="I8" s="8" t="s">
        <v>28</v>
      </c>
      <c r="J8" s="9" t="s">
        <v>11</v>
      </c>
      <c r="K8" s="9"/>
      <c r="L8" s="9"/>
      <c r="M8" s="9"/>
      <c r="N8" s="9"/>
      <c r="O8" s="9"/>
      <c r="P8" s="9"/>
      <c r="Q8" s="9"/>
    </row>
    <row r="9" customFormat="1" ht="14.25" customHeight="1" spans="1:17">
      <c r="A9" s="7"/>
      <c r="B9" s="7"/>
      <c r="C9" s="7"/>
      <c r="D9" s="7"/>
      <c r="E9" s="7"/>
      <c r="F9" s="7"/>
      <c r="G9" s="7"/>
      <c r="H9" s="7"/>
      <c r="I9" s="17"/>
      <c r="J9" s="9"/>
      <c r="K9" s="9"/>
      <c r="L9" s="9"/>
      <c r="M9" s="9"/>
      <c r="N9" s="9"/>
      <c r="O9" s="9"/>
      <c r="P9" s="9"/>
      <c r="Q9" s="9"/>
    </row>
    <row r="10" customFormat="1" spans="1:17">
      <c r="A10">
        <v>1</v>
      </c>
      <c r="B10" t="s">
        <v>12</v>
      </c>
      <c r="C10" t="s">
        <v>13</v>
      </c>
      <c r="D10">
        <v>200</v>
      </c>
      <c r="F10" t="s">
        <v>14</v>
      </c>
      <c r="H10">
        <v>200</v>
      </c>
      <c r="I10" s="17"/>
      <c r="J10">
        <v>1</v>
      </c>
      <c r="K10" t="s">
        <v>15</v>
      </c>
      <c r="L10" t="s">
        <v>13</v>
      </c>
      <c r="M10">
        <v>3230</v>
      </c>
      <c r="O10" t="s">
        <v>16</v>
      </c>
      <c r="Q10">
        <v>200</v>
      </c>
    </row>
    <row r="11" customFormat="1" spans="1:17">
      <c r="A11">
        <v>2</v>
      </c>
      <c r="B11" t="s">
        <v>23</v>
      </c>
      <c r="C11" t="s">
        <v>18</v>
      </c>
      <c r="D11">
        <v>202</v>
      </c>
      <c r="F11" t="s">
        <v>29</v>
      </c>
      <c r="H11">
        <v>200</v>
      </c>
      <c r="I11" s="17"/>
      <c r="J11">
        <v>2</v>
      </c>
      <c r="K11" t="s">
        <v>20</v>
      </c>
      <c r="L11" t="s">
        <v>21</v>
      </c>
      <c r="M11">
        <v>3232</v>
      </c>
      <c r="O11" t="s">
        <v>22</v>
      </c>
      <c r="Q11">
        <v>200</v>
      </c>
    </row>
    <row r="12" customFormat="1" spans="1:17">
      <c r="H12">
        <v>200</v>
      </c>
      <c r="I12" s="18"/>
      <c r="Q12">
        <v>200</v>
      </c>
    </row>
    <row r="13" customFormat="1" ht="14.25" customHeight="1" spans="1:17">
      <c r="A13" s="7" t="s">
        <v>9</v>
      </c>
      <c r="B13" s="7"/>
      <c r="C13" s="7"/>
      <c r="D13" s="7"/>
      <c r="E13" s="7"/>
      <c r="F13" s="7"/>
      <c r="G13" s="7"/>
      <c r="H13" s="7"/>
      <c r="I13" s="8" t="s">
        <v>30</v>
      </c>
      <c r="J13" s="9" t="s">
        <v>11</v>
      </c>
      <c r="K13" s="9"/>
      <c r="L13" s="9"/>
      <c r="M13" s="9"/>
      <c r="N13" s="9"/>
      <c r="O13" s="9"/>
      <c r="P13" s="9"/>
      <c r="Q13" s="9"/>
    </row>
    <row r="14" customFormat="1" ht="14.25" customHeight="1" spans="1:17">
      <c r="A14" s="7"/>
      <c r="B14" s="7"/>
      <c r="C14" s="7"/>
      <c r="D14" s="7"/>
      <c r="E14" s="7"/>
      <c r="F14" s="7"/>
      <c r="G14" s="7"/>
      <c r="H14" s="7"/>
      <c r="I14" s="10"/>
      <c r="J14" s="9"/>
      <c r="K14" s="9"/>
      <c r="L14" s="9"/>
      <c r="M14" s="9"/>
      <c r="N14" s="9"/>
      <c r="O14" s="9"/>
      <c r="P14" s="9"/>
      <c r="Q14" s="9"/>
    </row>
    <row r="15" customFormat="1" spans="1:17">
      <c r="A15">
        <v>1</v>
      </c>
      <c r="B15" t="s">
        <v>12</v>
      </c>
      <c r="C15" t="s">
        <v>13</v>
      </c>
      <c r="D15">
        <v>250</v>
      </c>
      <c r="F15" t="s">
        <v>14</v>
      </c>
      <c r="H15">
        <v>200</v>
      </c>
      <c r="I15" s="10"/>
      <c r="J15">
        <v>1</v>
      </c>
      <c r="K15" t="s">
        <v>15</v>
      </c>
      <c r="L15" t="s">
        <v>13</v>
      </c>
      <c r="M15">
        <v>3310</v>
      </c>
      <c r="O15" t="s">
        <v>16</v>
      </c>
      <c r="Q15">
        <v>200</v>
      </c>
    </row>
    <row r="16" customFormat="1" spans="1:17">
      <c r="A16">
        <v>2</v>
      </c>
      <c r="B16" t="s">
        <v>31</v>
      </c>
      <c r="C16" t="s">
        <v>18</v>
      </c>
      <c r="D16">
        <v>252</v>
      </c>
      <c r="F16" t="s">
        <v>32</v>
      </c>
      <c r="H16">
        <v>200</v>
      </c>
      <c r="I16" s="10"/>
      <c r="J16">
        <v>2</v>
      </c>
      <c r="K16" t="s">
        <v>20</v>
      </c>
      <c r="L16" t="s">
        <v>21</v>
      </c>
      <c r="M16">
        <v>3312</v>
      </c>
      <c r="O16" t="s">
        <v>22</v>
      </c>
      <c r="Q16">
        <v>200</v>
      </c>
    </row>
    <row r="17" customFormat="1" spans="1:17">
      <c r="A17" s="2">
        <v>3</v>
      </c>
      <c r="B17" s="2" t="s">
        <v>23</v>
      </c>
      <c r="C17" t="s">
        <v>18</v>
      </c>
      <c r="D17" s="2">
        <v>278</v>
      </c>
      <c r="E17" s="2"/>
      <c r="F17" t="s">
        <v>33</v>
      </c>
      <c r="G17" s="2"/>
      <c r="H17" s="2">
        <v>200</v>
      </c>
      <c r="I17" s="10"/>
      <c r="J17" s="19">
        <v>3</v>
      </c>
      <c r="K17" s="20" t="s">
        <v>34</v>
      </c>
      <c r="L17" s="20" t="s">
        <v>18</v>
      </c>
      <c r="M17" s="21">
        <v>3314</v>
      </c>
      <c r="N17" s="19"/>
      <c r="O17" s="19" t="s">
        <v>35</v>
      </c>
      <c r="Q17">
        <v>200</v>
      </c>
    </row>
    <row r="18" s="2" customFormat="1" ht="14.25" customHeight="1" spans="1:17">
      <c r="A18">
        <v>4</v>
      </c>
      <c r="B18" t="s">
        <v>36</v>
      </c>
      <c r="C18" t="s">
        <v>21</v>
      </c>
      <c r="D18">
        <v>304</v>
      </c>
      <c r="E18"/>
      <c r="F18" t="s">
        <v>37</v>
      </c>
      <c r="G18"/>
      <c r="H18">
        <v>200</v>
      </c>
      <c r="I18" s="10"/>
      <c r="J18" s="22"/>
      <c r="K18" s="22"/>
      <c r="L18" s="22"/>
      <c r="M18" s="22"/>
      <c r="N18" s="22"/>
      <c r="O18" s="22"/>
      <c r="P18" s="22"/>
      <c r="Q18" s="22"/>
    </row>
    <row r="19" ht="14.25" customHeight="1" spans="1:17">
      <c r="A19" s="7" t="s">
        <v>9</v>
      </c>
      <c r="B19" s="7"/>
      <c r="C19" s="7"/>
      <c r="D19" s="7"/>
      <c r="E19" s="7"/>
      <c r="F19" s="7"/>
      <c r="G19" s="7"/>
      <c r="H19" s="7"/>
      <c r="I19" s="8" t="s">
        <v>38</v>
      </c>
      <c r="J19" s="9" t="s">
        <v>11</v>
      </c>
      <c r="K19" s="9"/>
      <c r="L19" s="9"/>
      <c r="M19" s="9"/>
      <c r="N19" s="9"/>
      <c r="O19" s="9"/>
      <c r="P19" s="9"/>
      <c r="Q19" s="9"/>
    </row>
    <row r="20" ht="14.25" customHeight="1" spans="1:17">
      <c r="A20" s="7"/>
      <c r="B20" s="7"/>
      <c r="C20" s="7"/>
      <c r="D20" s="7"/>
      <c r="E20" s="7"/>
      <c r="F20" s="7"/>
      <c r="G20" s="7"/>
      <c r="H20" s="7"/>
      <c r="I20" s="17"/>
      <c r="J20" s="9"/>
      <c r="K20" s="9"/>
      <c r="L20" s="9"/>
      <c r="M20" s="9"/>
      <c r="N20" s="9"/>
      <c r="O20" s="9"/>
      <c r="P20" s="9"/>
      <c r="Q20" s="9"/>
    </row>
    <row r="21" customFormat="1" spans="1:17">
      <c r="A21">
        <v>1</v>
      </c>
      <c r="B21" t="s">
        <v>12</v>
      </c>
      <c r="C21" t="s">
        <v>13</v>
      </c>
      <c r="D21">
        <v>330</v>
      </c>
      <c r="F21" t="s">
        <v>14</v>
      </c>
      <c r="H21">
        <v>200</v>
      </c>
      <c r="I21" s="17"/>
      <c r="J21">
        <v>1</v>
      </c>
      <c r="K21" t="s">
        <v>15</v>
      </c>
      <c r="L21" t="s">
        <v>13</v>
      </c>
      <c r="M21">
        <v>3360</v>
      </c>
      <c r="O21" t="s">
        <v>16</v>
      </c>
      <c r="Q21">
        <v>200</v>
      </c>
    </row>
    <row r="22" customFormat="1" spans="1:17">
      <c r="A22">
        <v>2</v>
      </c>
      <c r="B22" t="s">
        <v>31</v>
      </c>
      <c r="C22" t="s">
        <v>18</v>
      </c>
      <c r="D22">
        <v>332</v>
      </c>
      <c r="F22" t="s">
        <v>32</v>
      </c>
      <c r="H22">
        <v>200</v>
      </c>
      <c r="I22" s="17"/>
      <c r="J22">
        <v>2</v>
      </c>
      <c r="K22" t="s">
        <v>20</v>
      </c>
      <c r="L22" t="s">
        <v>21</v>
      </c>
      <c r="M22">
        <v>3362</v>
      </c>
      <c r="O22" t="s">
        <v>22</v>
      </c>
      <c r="Q22">
        <v>200</v>
      </c>
    </row>
    <row r="23" customFormat="1" spans="1:17">
      <c r="A23">
        <v>3</v>
      </c>
      <c r="B23" t="s">
        <v>39</v>
      </c>
      <c r="C23" t="s">
        <v>21</v>
      </c>
      <c r="D23">
        <f>332+26</f>
        <v>358</v>
      </c>
      <c r="F23" t="s">
        <v>40</v>
      </c>
      <c r="G23">
        <v>2</v>
      </c>
      <c r="I23" s="17"/>
      <c r="J23">
        <v>3</v>
      </c>
      <c r="K23" s="23" t="s">
        <v>41</v>
      </c>
      <c r="L23" s="24" t="s">
        <v>42</v>
      </c>
      <c r="M23" s="25">
        <v>3364</v>
      </c>
      <c r="N23" s="23"/>
      <c r="O23" s="23" t="s">
        <v>43</v>
      </c>
      <c r="Q23">
        <v>200</v>
      </c>
    </row>
    <row r="24" customFormat="1" spans="1:17">
      <c r="I24" s="17"/>
      <c r="J24">
        <v>4</v>
      </c>
      <c r="K24" s="23" t="s">
        <v>44</v>
      </c>
      <c r="L24" s="24" t="s">
        <v>42</v>
      </c>
      <c r="M24" s="25">
        <v>3366</v>
      </c>
      <c r="N24" s="23"/>
      <c r="O24" s="23" t="s">
        <v>45</v>
      </c>
      <c r="Q24">
        <v>200</v>
      </c>
    </row>
    <row r="25" customFormat="1" spans="1:17">
      <c r="I25" s="17"/>
      <c r="J25">
        <v>5</v>
      </c>
      <c r="K25" s="23" t="s">
        <v>46</v>
      </c>
      <c r="L25" s="24" t="s">
        <v>42</v>
      </c>
      <c r="M25" s="25">
        <v>3368</v>
      </c>
      <c r="N25" s="23"/>
      <c r="O25" s="23" t="s">
        <v>47</v>
      </c>
      <c r="Q25">
        <v>200</v>
      </c>
    </row>
    <row r="26" customFormat="1" spans="1:17">
      <c r="I26" s="17"/>
      <c r="J26">
        <v>6</v>
      </c>
      <c r="K26" s="23" t="s">
        <v>48</v>
      </c>
      <c r="L26" s="24" t="s">
        <v>42</v>
      </c>
      <c r="M26" s="25">
        <v>3370</v>
      </c>
      <c r="N26" s="23"/>
      <c r="O26" s="23" t="s">
        <v>49</v>
      </c>
      <c r="Q26">
        <v>200</v>
      </c>
    </row>
    <row r="27" customFormat="1" spans="1:17">
      <c r="I27" s="17"/>
      <c r="J27">
        <v>7</v>
      </c>
      <c r="K27" s="23" t="s">
        <v>50</v>
      </c>
      <c r="L27" s="24" t="s">
        <v>42</v>
      </c>
      <c r="M27" s="25">
        <v>3372</v>
      </c>
      <c r="N27" s="23"/>
      <c r="O27" s="23" t="s">
        <v>51</v>
      </c>
      <c r="Q27">
        <v>200</v>
      </c>
    </row>
    <row r="28" customFormat="1" spans="1:17">
      <c r="I28" s="17"/>
      <c r="J28">
        <v>8</v>
      </c>
      <c r="K28" s="23" t="s">
        <v>52</v>
      </c>
      <c r="L28" s="24" t="s">
        <v>42</v>
      </c>
      <c r="M28" s="25">
        <v>3374</v>
      </c>
      <c r="N28" s="23"/>
      <c r="O28" s="23" t="s">
        <v>53</v>
      </c>
      <c r="Q28">
        <v>200</v>
      </c>
    </row>
    <row r="29" customFormat="1" ht="14.25" customHeight="1" spans="1:17">
      <c r="A29" s="7" t="s">
        <v>9</v>
      </c>
      <c r="B29" s="7"/>
      <c r="C29" s="7"/>
      <c r="D29" s="7"/>
      <c r="E29" s="7"/>
      <c r="F29" s="7"/>
      <c r="G29" s="7"/>
      <c r="H29" s="7"/>
      <c r="I29" s="8" t="s">
        <v>54</v>
      </c>
      <c r="J29" s="9" t="s">
        <v>11</v>
      </c>
      <c r="K29" s="9"/>
      <c r="L29" s="9"/>
      <c r="M29" s="9"/>
      <c r="N29" s="9"/>
      <c r="O29" s="9"/>
      <c r="P29" s="9"/>
      <c r="Q29" s="9"/>
    </row>
    <row r="30" customFormat="1" ht="14.25" customHeight="1" spans="1:17">
      <c r="A30" s="7"/>
      <c r="B30" s="7"/>
      <c r="C30" s="7"/>
      <c r="D30" s="7"/>
      <c r="E30" s="7"/>
      <c r="F30" s="7"/>
      <c r="G30" s="7"/>
      <c r="H30" s="7"/>
      <c r="I30" s="17"/>
      <c r="J30" s="9"/>
      <c r="K30" s="9"/>
      <c r="L30" s="9"/>
      <c r="M30" s="9"/>
      <c r="N30" s="9"/>
      <c r="O30" s="9"/>
      <c r="P30" s="9"/>
      <c r="Q30" s="9"/>
    </row>
    <row r="31" customFormat="1" ht="14.25" customHeight="1" spans="1:17">
      <c r="A31">
        <v>1</v>
      </c>
      <c r="B31" t="s">
        <v>12</v>
      </c>
      <c r="C31" t="s">
        <v>13</v>
      </c>
      <c r="D31">
        <v>410</v>
      </c>
      <c r="F31" t="s">
        <v>14</v>
      </c>
      <c r="H31">
        <v>200</v>
      </c>
      <c r="I31" s="17"/>
      <c r="K31" t="s">
        <v>15</v>
      </c>
      <c r="L31" t="s">
        <v>13</v>
      </c>
      <c r="M31">
        <v>3460</v>
      </c>
      <c r="O31" t="s">
        <v>16</v>
      </c>
      <c r="Q31">
        <v>200</v>
      </c>
    </row>
    <row r="32" customFormat="1" ht="14.25" customHeight="1" spans="1:17">
      <c r="A32">
        <v>2</v>
      </c>
      <c r="B32" t="s">
        <v>31</v>
      </c>
      <c r="C32" t="s">
        <v>18</v>
      </c>
      <c r="D32">
        <v>412</v>
      </c>
      <c r="F32" t="s">
        <v>31</v>
      </c>
      <c r="G32">
        <v>26</v>
      </c>
      <c r="H32">
        <v>200</v>
      </c>
      <c r="I32" s="17"/>
      <c r="K32" t="s">
        <v>20</v>
      </c>
      <c r="L32" t="s">
        <v>21</v>
      </c>
      <c r="M32">
        <v>3462</v>
      </c>
      <c r="O32" t="s">
        <v>55</v>
      </c>
      <c r="Q32">
        <v>200</v>
      </c>
    </row>
    <row r="33" customFormat="1" ht="14.25" customHeight="1" spans="1:17">
      <c r="B33" s="19" t="s">
        <v>39</v>
      </c>
      <c r="C33" s="19" t="s">
        <v>21</v>
      </c>
      <c r="D33" s="19">
        <v>438</v>
      </c>
      <c r="E33" s="19"/>
      <c r="F33" s="19" t="s">
        <v>40</v>
      </c>
      <c r="G33">
        <v>2</v>
      </c>
      <c r="I33" s="17"/>
      <c r="K33" s="19" t="s">
        <v>56</v>
      </c>
      <c r="L33" s="19" t="s">
        <v>57</v>
      </c>
      <c r="M33" s="19">
        <v>3464</v>
      </c>
      <c r="N33" s="19"/>
      <c r="O33" s="19" t="s">
        <v>58</v>
      </c>
      <c r="Q33">
        <v>200</v>
      </c>
    </row>
    <row r="34" customFormat="1" ht="14.25" customHeight="1" spans="1:17">
      <c r="I34" s="17"/>
    </row>
    <row r="35" customFormat="1" ht="14.25" customHeight="1" spans="1:17">
      <c r="I35" s="17"/>
    </row>
    <row r="36" customFormat="1" ht="14.25" customHeight="1" spans="1:17">
      <c r="I36" s="17"/>
    </row>
    <row r="37" ht="14.25" customHeight="1" spans="1:17">
      <c r="A37" s="7" t="s">
        <v>9</v>
      </c>
      <c r="B37" s="7"/>
      <c r="C37" s="7"/>
      <c r="D37" s="7"/>
      <c r="E37" s="7"/>
      <c r="F37" s="7"/>
      <c r="G37" s="7"/>
      <c r="H37" s="7"/>
      <c r="I37" s="8" t="s">
        <v>59</v>
      </c>
      <c r="J37" s="9" t="s">
        <v>11</v>
      </c>
      <c r="K37" s="9"/>
      <c r="L37" s="9"/>
      <c r="M37" s="9"/>
      <c r="N37" s="9"/>
      <c r="O37" s="9"/>
      <c r="P37" s="9"/>
      <c r="Q37" s="9"/>
    </row>
    <row r="38" ht="14.25" customHeight="1" spans="1:17">
      <c r="A38" s="7"/>
      <c r="B38" s="7"/>
      <c r="C38" s="7"/>
      <c r="D38" s="7"/>
      <c r="E38" s="7"/>
      <c r="F38" s="7"/>
      <c r="G38" s="7"/>
      <c r="H38" s="7"/>
      <c r="I38" s="17"/>
      <c r="J38" s="9"/>
      <c r="K38" s="9"/>
      <c r="L38" s="9"/>
      <c r="M38" s="9"/>
      <c r="N38" s="9"/>
      <c r="O38" s="9"/>
      <c r="P38" s="9"/>
      <c r="Q38" s="9"/>
    </row>
    <row r="39" customFormat="1" ht="14.25" customHeight="1" spans="1:17">
      <c r="A39">
        <v>1</v>
      </c>
      <c r="B39" t="s">
        <v>12</v>
      </c>
      <c r="C39" t="s">
        <v>13</v>
      </c>
      <c r="D39">
        <v>500</v>
      </c>
      <c r="F39" t="s">
        <v>14</v>
      </c>
      <c r="H39">
        <v>200</v>
      </c>
      <c r="I39" s="17"/>
      <c r="K39" t="s">
        <v>15</v>
      </c>
      <c r="L39" t="s">
        <v>13</v>
      </c>
      <c r="M39">
        <v>3570</v>
      </c>
      <c r="O39" t="s">
        <v>16</v>
      </c>
      <c r="Q39">
        <v>200</v>
      </c>
    </row>
    <row r="40" customFormat="1" ht="14.25" customHeight="1" spans="1:17">
      <c r="A40">
        <v>2</v>
      </c>
      <c r="B40" t="s">
        <v>31</v>
      </c>
      <c r="C40" t="s">
        <v>18</v>
      </c>
      <c r="D40">
        <v>502</v>
      </c>
      <c r="F40" t="s">
        <v>31</v>
      </c>
      <c r="G40">
        <v>26</v>
      </c>
      <c r="H40">
        <v>200</v>
      </c>
      <c r="I40" s="17"/>
      <c r="K40" t="s">
        <v>20</v>
      </c>
      <c r="L40" t="s">
        <v>21</v>
      </c>
      <c r="M40">
        <v>3572</v>
      </c>
      <c r="O40" t="s">
        <v>55</v>
      </c>
      <c r="Q40">
        <v>200</v>
      </c>
    </row>
    <row r="41" customFormat="1" ht="14.25" customHeight="1" spans="1:17">
      <c r="A41">
        <v>3</v>
      </c>
      <c r="B41" t="s">
        <v>23</v>
      </c>
      <c r="C41" t="s">
        <v>18</v>
      </c>
      <c r="D41">
        <f>D40+26</f>
        <v>528</v>
      </c>
      <c r="F41" t="s">
        <v>60</v>
      </c>
      <c r="G41">
        <v>26</v>
      </c>
      <c r="H41">
        <v>200</v>
      </c>
      <c r="I41" s="17"/>
    </row>
    <row r="42" customFormat="1" ht="14.25" customHeight="1" spans="1:17">
      <c r="A42">
        <v>4</v>
      </c>
      <c r="B42" t="s">
        <v>36</v>
      </c>
      <c r="C42" t="s">
        <v>21</v>
      </c>
      <c r="D42">
        <f>528+26</f>
        <v>554</v>
      </c>
      <c r="F42" t="s">
        <v>37</v>
      </c>
      <c r="G42">
        <v>2</v>
      </c>
      <c r="H42">
        <v>200</v>
      </c>
      <c r="I42" s="17"/>
    </row>
    <row r="43" customFormat="1" ht="14.25" customHeight="1" spans="1:17">
      <c r="I43" s="17"/>
    </row>
    <row r="44" customFormat="1" ht="14.25" customHeight="1" spans="1:17">
      <c r="I44" s="17"/>
    </row>
    <row r="45" ht="14.25" customHeight="1" spans="1:17">
      <c r="A45" s="7" t="s">
        <v>9</v>
      </c>
      <c r="B45" s="7"/>
      <c r="C45" s="7"/>
      <c r="D45" s="7"/>
      <c r="E45" s="7"/>
      <c r="F45" s="7"/>
      <c r="G45" s="7"/>
      <c r="H45" s="7"/>
      <c r="I45" s="8" t="s">
        <v>61</v>
      </c>
      <c r="J45" s="9" t="s">
        <v>11</v>
      </c>
      <c r="K45" s="9"/>
      <c r="L45" s="9"/>
      <c r="M45" s="9"/>
      <c r="N45" s="9"/>
      <c r="O45" s="9"/>
      <c r="P45" s="9"/>
      <c r="Q45" s="9"/>
    </row>
    <row r="46" ht="14.25" customHeight="1" spans="1:17">
      <c r="A46" s="7"/>
      <c r="B46" s="7"/>
      <c r="C46" s="7"/>
      <c r="D46" s="7"/>
      <c r="E46" s="7"/>
      <c r="F46" s="7"/>
      <c r="G46" s="7"/>
      <c r="H46" s="7"/>
      <c r="I46" s="10"/>
      <c r="J46" s="9"/>
      <c r="K46" s="9"/>
      <c r="L46" s="9"/>
      <c r="M46" s="9"/>
      <c r="N46" s="9"/>
      <c r="O46" s="9"/>
      <c r="P46" s="9"/>
      <c r="Q46" s="9"/>
    </row>
    <row r="47" customFormat="1" ht="14.25" customHeight="1" spans="1:17">
      <c r="B47" t="s">
        <v>12</v>
      </c>
      <c r="C47" t="s">
        <v>13</v>
      </c>
      <c r="D47">
        <v>600</v>
      </c>
      <c r="F47" t="s">
        <v>14</v>
      </c>
      <c r="H47">
        <v>200</v>
      </c>
      <c r="I47" s="10"/>
      <c r="K47" t="s">
        <v>15</v>
      </c>
      <c r="L47" t="s">
        <v>13</v>
      </c>
      <c r="M47">
        <v>3600</v>
      </c>
      <c r="O47" t="s">
        <v>16</v>
      </c>
      <c r="Q47">
        <v>200</v>
      </c>
    </row>
    <row r="48" customFormat="1" ht="14.25" customHeight="1" spans="1:17">
      <c r="B48" s="19" t="s">
        <v>62</v>
      </c>
      <c r="C48" s="19" t="s">
        <v>13</v>
      </c>
      <c r="D48" s="19">
        <v>600.1</v>
      </c>
      <c r="I48" s="10"/>
      <c r="K48" t="s">
        <v>20</v>
      </c>
      <c r="L48" t="s">
        <v>21</v>
      </c>
      <c r="M48">
        <v>3602</v>
      </c>
      <c r="O48" t="s">
        <v>55</v>
      </c>
    </row>
    <row r="49" customFormat="1" ht="14.25" customHeight="1" spans="1:9">
      <c r="B49" s="19" t="s">
        <v>63</v>
      </c>
      <c r="C49" s="19" t="s">
        <v>13</v>
      </c>
      <c r="D49" s="19">
        <v>600.2</v>
      </c>
      <c r="I49" s="10"/>
    </row>
    <row r="50" customFormat="1" ht="14.25" customHeight="1" spans="1:9">
      <c r="B50" s="19" t="s">
        <v>64</v>
      </c>
      <c r="C50" s="19" t="s">
        <v>13</v>
      </c>
      <c r="D50" s="19">
        <v>600.3</v>
      </c>
      <c r="I50" s="10"/>
    </row>
    <row r="51" customFormat="1" ht="14.25" customHeight="1" spans="1:9">
      <c r="B51" s="19" t="s">
        <v>65</v>
      </c>
      <c r="C51" s="19" t="s">
        <v>13</v>
      </c>
      <c r="D51" s="19">
        <v>600.4</v>
      </c>
      <c r="I51" s="10"/>
    </row>
    <row r="52" customFormat="1" ht="14.25" customHeight="1" spans="1:9">
      <c r="B52" s="19" t="s">
        <v>66</v>
      </c>
      <c r="C52" s="19" t="s">
        <v>13</v>
      </c>
      <c r="D52" s="19">
        <v>600.5</v>
      </c>
      <c r="I52" s="10"/>
    </row>
    <row r="53" customFormat="1" ht="14.25" customHeight="1" spans="1:9">
      <c r="B53" s="19" t="s">
        <v>67</v>
      </c>
      <c r="C53" s="19" t="s">
        <v>13</v>
      </c>
      <c r="D53" s="19">
        <v>600.6</v>
      </c>
      <c r="I53" s="10"/>
    </row>
    <row r="54" customFormat="1" ht="14.25" customHeight="1" spans="1:9">
      <c r="B54" s="19" t="s">
        <v>68</v>
      </c>
      <c r="C54" s="19" t="s">
        <v>13</v>
      </c>
      <c r="D54" s="19">
        <v>600.7</v>
      </c>
      <c r="I54" s="10"/>
    </row>
    <row r="55" customFormat="1" ht="14.25" customHeight="1" spans="1:9">
      <c r="B55" s="19" t="s">
        <v>69</v>
      </c>
      <c r="C55" s="19" t="s">
        <v>13</v>
      </c>
      <c r="D55" s="19">
        <v>601</v>
      </c>
      <c r="I55" s="10"/>
    </row>
    <row r="56" customFormat="1" ht="14.25" customHeight="1" spans="1:9">
      <c r="B56" s="19" t="s">
        <v>70</v>
      </c>
      <c r="C56" s="19" t="s">
        <v>13</v>
      </c>
      <c r="D56" s="19">
        <v>601.1</v>
      </c>
      <c r="I56" s="10"/>
    </row>
    <row r="57" customFormat="1" ht="14.25" customHeight="1" spans="1:9">
      <c r="B57" s="19" t="s">
        <v>71</v>
      </c>
      <c r="C57" s="19" t="s">
        <v>13</v>
      </c>
      <c r="D57" s="19">
        <v>601.2</v>
      </c>
      <c r="I57" s="10"/>
    </row>
    <row r="58" customFormat="1" ht="14.25" customHeight="1" spans="1:9">
      <c r="B58" t="s">
        <v>72</v>
      </c>
      <c r="C58" t="s">
        <v>13</v>
      </c>
      <c r="D58">
        <v>602</v>
      </c>
      <c r="H58">
        <v>200</v>
      </c>
      <c r="I58" s="10"/>
    </row>
    <row r="59" customFormat="1" ht="14.25" customHeight="1" spans="1:9">
      <c r="B59" t="s">
        <v>31</v>
      </c>
      <c r="C59" t="s">
        <v>18</v>
      </c>
      <c r="D59">
        <v>628</v>
      </c>
      <c r="F59" t="s">
        <v>73</v>
      </c>
      <c r="G59">
        <v>26</v>
      </c>
      <c r="H59">
        <v>200</v>
      </c>
      <c r="I59" s="10"/>
    </row>
    <row r="60" customFormat="1" ht="14.25" customHeight="1" spans="1:9">
      <c r="A60" s="19"/>
      <c r="B60" s="19" t="s">
        <v>74</v>
      </c>
      <c r="C60" s="19" t="s">
        <v>18</v>
      </c>
      <c r="D60" s="19">
        <v>654</v>
      </c>
      <c r="E60" s="19"/>
      <c r="F60" s="19" t="s">
        <v>75</v>
      </c>
      <c r="G60" s="19">
        <v>26</v>
      </c>
      <c r="H60" s="19">
        <v>200</v>
      </c>
      <c r="I60" s="10"/>
    </row>
    <row r="61" customFormat="1" ht="14.25" customHeight="1" spans="1:9">
      <c r="A61" s="19"/>
      <c r="B61" s="19" t="s">
        <v>76</v>
      </c>
      <c r="C61" s="19" t="s">
        <v>18</v>
      </c>
      <c r="D61" s="19">
        <v>680</v>
      </c>
      <c r="E61" s="19"/>
      <c r="F61" s="19" t="s">
        <v>77</v>
      </c>
      <c r="G61" s="19"/>
      <c r="H61" s="19">
        <v>200</v>
      </c>
      <c r="I61" s="10"/>
    </row>
    <row r="62" customFormat="1" ht="14.25" customHeight="1" spans="1:9">
      <c r="A62" s="19"/>
      <c r="B62" s="19" t="s">
        <v>78</v>
      </c>
      <c r="C62" s="19" t="s">
        <v>18</v>
      </c>
      <c r="D62" s="19">
        <v>706</v>
      </c>
      <c r="E62" s="19"/>
      <c r="F62" s="19" t="s">
        <v>79</v>
      </c>
      <c r="G62" s="19"/>
      <c r="H62" s="19">
        <v>200</v>
      </c>
      <c r="I62" s="10"/>
    </row>
    <row r="63" customFormat="1" ht="14.25" customHeight="1" spans="1:9">
      <c r="A63" s="19"/>
      <c r="B63" s="19" t="s">
        <v>80</v>
      </c>
      <c r="C63" s="19" t="s">
        <v>18</v>
      </c>
      <c r="D63" s="19">
        <v>732</v>
      </c>
      <c r="E63" s="19"/>
      <c r="F63" s="19" t="s">
        <v>81</v>
      </c>
      <c r="G63" s="19"/>
      <c r="H63" s="19">
        <v>200</v>
      </c>
      <c r="I63" s="10"/>
    </row>
    <row r="64" customFormat="1" ht="14.25" customHeight="1" spans="1:9">
      <c r="A64" s="19"/>
      <c r="B64" s="19" t="s">
        <v>82</v>
      </c>
      <c r="C64" s="19" t="s">
        <v>18</v>
      </c>
      <c r="D64" s="19">
        <v>758</v>
      </c>
      <c r="E64" s="19"/>
      <c r="F64" s="19" t="s">
        <v>81</v>
      </c>
      <c r="G64" s="19"/>
      <c r="H64" s="19">
        <v>200</v>
      </c>
      <c r="I64" s="10"/>
    </row>
    <row r="65" customFormat="1" ht="14.25" customHeight="1" spans="1:15">
      <c r="A65" s="19"/>
      <c r="B65" s="19" t="s">
        <v>83</v>
      </c>
      <c r="C65" s="19" t="s">
        <v>18</v>
      </c>
      <c r="D65" s="19">
        <v>784</v>
      </c>
      <c r="E65" s="19"/>
      <c r="F65" s="19" t="s">
        <v>81</v>
      </c>
      <c r="G65" s="19"/>
      <c r="H65" s="19">
        <v>200</v>
      </c>
      <c r="I65" s="10"/>
      <c r="K65" s="26"/>
    </row>
    <row r="66" customFormat="1" ht="14.25" customHeight="1" spans="1:15">
      <c r="A66" s="19"/>
      <c r="B66" s="19" t="s">
        <v>84</v>
      </c>
      <c r="C66" s="19" t="s">
        <v>18</v>
      </c>
      <c r="D66" s="19">
        <v>810</v>
      </c>
      <c r="E66" s="19"/>
      <c r="F66" s="19" t="s">
        <v>81</v>
      </c>
      <c r="G66" s="19"/>
      <c r="H66" s="19">
        <v>200</v>
      </c>
      <c r="I66" s="10"/>
      <c r="K66" s="26"/>
    </row>
    <row r="67" customFormat="1" ht="14.25" customHeight="1" spans="1:15">
      <c r="A67" s="19"/>
      <c r="B67" s="19" t="s">
        <v>85</v>
      </c>
      <c r="C67" s="19" t="s">
        <v>18</v>
      </c>
      <c r="D67" s="19">
        <v>836</v>
      </c>
      <c r="E67" s="19"/>
      <c r="F67" s="19" t="s">
        <v>81</v>
      </c>
      <c r="G67" s="19"/>
      <c r="H67" s="19">
        <v>200</v>
      </c>
      <c r="I67" s="10"/>
      <c r="K67" s="26"/>
      <c r="O67" s="26"/>
    </row>
    <row r="68" customFormat="1" ht="14.25" customHeight="1" spans="1:15">
      <c r="A68" s="19"/>
      <c r="B68" s="19" t="s">
        <v>86</v>
      </c>
      <c r="C68" s="19" t="s">
        <v>18</v>
      </c>
      <c r="D68" s="19">
        <v>862</v>
      </c>
      <c r="E68" s="19"/>
      <c r="F68" s="19" t="s">
        <v>81</v>
      </c>
      <c r="G68" s="19"/>
      <c r="H68" s="19">
        <v>200</v>
      </c>
      <c r="I68" s="10"/>
      <c r="K68" s="26"/>
      <c r="O68" s="26"/>
    </row>
    <row r="69" customFormat="1" ht="14.25" customHeight="1" spans="1:15">
      <c r="A69" s="19"/>
      <c r="B69" s="19" t="s">
        <v>87</v>
      </c>
      <c r="C69" s="19" t="s">
        <v>18</v>
      </c>
      <c r="D69" s="19">
        <v>888</v>
      </c>
      <c r="E69" s="19"/>
      <c r="F69" s="19" t="s">
        <v>81</v>
      </c>
      <c r="G69" s="19"/>
      <c r="H69" s="19">
        <v>200</v>
      </c>
      <c r="I69" s="10"/>
      <c r="K69" s="26"/>
      <c r="O69" s="26"/>
    </row>
    <row r="70" customFormat="1" ht="14.25" customHeight="1" spans="1:15">
      <c r="A70" s="19"/>
      <c r="B70" s="19" t="s">
        <v>88</v>
      </c>
      <c r="C70" s="19" t="s">
        <v>89</v>
      </c>
      <c r="D70" s="19">
        <v>914</v>
      </c>
      <c r="E70" s="19"/>
      <c r="F70" s="19" t="s">
        <v>90</v>
      </c>
      <c r="G70" s="19"/>
      <c r="H70" s="19">
        <v>200</v>
      </c>
      <c r="I70" s="10"/>
      <c r="K70" s="26"/>
      <c r="O70" s="26"/>
    </row>
    <row r="71" customFormat="1" ht="14.25" customHeight="1" spans="1:15">
      <c r="A71" s="19"/>
      <c r="B71" s="19" t="s">
        <v>91</v>
      </c>
      <c r="C71" s="19" t="s">
        <v>89</v>
      </c>
      <c r="D71" s="19">
        <v>918</v>
      </c>
      <c r="E71" s="19"/>
      <c r="F71" s="19" t="s">
        <v>92</v>
      </c>
      <c r="G71" s="19"/>
      <c r="H71" s="19">
        <v>200</v>
      </c>
      <c r="I71" s="10"/>
      <c r="K71" s="26"/>
      <c r="O71" s="26"/>
    </row>
    <row r="72" customFormat="1" ht="14.25" customHeight="1" spans="1:15">
      <c r="A72" s="19"/>
      <c r="B72" s="19" t="s">
        <v>93</v>
      </c>
      <c r="C72" s="19" t="s">
        <v>89</v>
      </c>
      <c r="D72" s="19">
        <v>922</v>
      </c>
      <c r="E72" s="19"/>
      <c r="F72" s="19" t="s">
        <v>94</v>
      </c>
      <c r="G72" s="19"/>
      <c r="H72" s="19">
        <v>200</v>
      </c>
      <c r="I72" s="10"/>
      <c r="K72" s="26"/>
      <c r="O72" s="26"/>
    </row>
    <row r="73" customFormat="1" ht="14.25" customHeight="1" spans="1:15">
      <c r="A73" s="19"/>
      <c r="B73" s="19" t="s">
        <v>95</v>
      </c>
      <c r="C73" s="19" t="s">
        <v>89</v>
      </c>
      <c r="D73" s="19">
        <v>926</v>
      </c>
      <c r="E73" s="19"/>
      <c r="F73" s="19" t="s">
        <v>96</v>
      </c>
      <c r="G73" s="19"/>
      <c r="H73" s="19">
        <v>200</v>
      </c>
      <c r="I73" s="10"/>
      <c r="K73" s="26"/>
      <c r="O73" s="26"/>
    </row>
    <row r="74" customFormat="1" ht="14.25" customHeight="1" spans="1:15">
      <c r="A74" s="19"/>
      <c r="B74" s="19" t="s">
        <v>97</v>
      </c>
      <c r="C74" s="19" t="s">
        <v>89</v>
      </c>
      <c r="D74" s="19">
        <v>930</v>
      </c>
      <c r="E74" s="19"/>
      <c r="F74" s="19" t="s">
        <v>98</v>
      </c>
      <c r="G74" s="19"/>
      <c r="H74" s="19">
        <v>200</v>
      </c>
      <c r="I74" s="10"/>
      <c r="K74" s="26"/>
      <c r="O74" s="26"/>
    </row>
    <row r="75" customFormat="1" ht="14.25" customHeight="1" spans="1:15">
      <c r="A75" s="19"/>
      <c r="B75" s="19" t="s">
        <v>99</v>
      </c>
      <c r="C75" s="19" t="s">
        <v>89</v>
      </c>
      <c r="D75" s="19">
        <v>934</v>
      </c>
      <c r="E75" s="19"/>
      <c r="F75" s="19" t="s">
        <v>100</v>
      </c>
      <c r="G75" s="19"/>
      <c r="H75" s="19">
        <v>200</v>
      </c>
      <c r="I75" s="10"/>
      <c r="K75" s="26"/>
      <c r="O75" s="26"/>
    </row>
    <row r="76" customFormat="1" ht="14.25" customHeight="1" spans="1:15">
      <c r="A76" s="19"/>
      <c r="B76" s="19" t="s">
        <v>101</v>
      </c>
      <c r="C76" s="19" t="s">
        <v>89</v>
      </c>
      <c r="D76" s="19">
        <v>938</v>
      </c>
      <c r="E76" s="19"/>
      <c r="F76" s="19" t="s">
        <v>81</v>
      </c>
      <c r="G76" s="19"/>
      <c r="H76" s="19">
        <v>200</v>
      </c>
      <c r="I76" s="10"/>
      <c r="O76" s="26"/>
    </row>
    <row r="77" customFormat="1" ht="14.25" customHeight="1" spans="1:15">
      <c r="A77" s="19"/>
      <c r="B77" s="19" t="s">
        <v>102</v>
      </c>
      <c r="C77" s="19" t="s">
        <v>89</v>
      </c>
      <c r="D77" s="19">
        <v>942</v>
      </c>
      <c r="E77" s="19"/>
      <c r="F77" s="19" t="s">
        <v>81</v>
      </c>
      <c r="G77" s="19"/>
      <c r="H77" s="19">
        <v>200</v>
      </c>
      <c r="I77" s="10"/>
    </row>
    <row r="78" customFormat="1" ht="14.25" customHeight="1" spans="1:15">
      <c r="A78" s="19"/>
      <c r="B78" s="19" t="s">
        <v>103</v>
      </c>
      <c r="C78" s="19" t="s">
        <v>89</v>
      </c>
      <c r="D78" s="19">
        <v>946</v>
      </c>
      <c r="E78" s="19"/>
      <c r="F78" s="19" t="s">
        <v>81</v>
      </c>
      <c r="G78" s="19"/>
      <c r="H78" s="19">
        <v>200</v>
      </c>
      <c r="I78" s="10"/>
    </row>
    <row r="79" customFormat="1" ht="14.25" customHeight="1" spans="1:15">
      <c r="A79" s="19"/>
      <c r="B79" s="19" t="s">
        <v>104</v>
      </c>
      <c r="C79" s="19" t="s">
        <v>89</v>
      </c>
      <c r="D79" s="19">
        <v>950</v>
      </c>
      <c r="E79" s="19"/>
      <c r="F79" s="19" t="s">
        <v>81</v>
      </c>
      <c r="G79" s="19"/>
      <c r="H79" s="19">
        <v>200</v>
      </c>
      <c r="I79" s="10"/>
      <c r="K79" s="26"/>
    </row>
    <row r="80" customFormat="1" ht="14.25" customHeight="1" spans="1:15">
      <c r="A80" s="19"/>
      <c r="B80" s="19" t="s">
        <v>105</v>
      </c>
      <c r="C80" s="19" t="s">
        <v>89</v>
      </c>
      <c r="D80" s="19">
        <v>954</v>
      </c>
      <c r="E80" s="19"/>
      <c r="F80" s="19" t="s">
        <v>81</v>
      </c>
      <c r="G80" s="19"/>
      <c r="H80" s="19"/>
      <c r="I80" s="10"/>
      <c r="K80" s="26"/>
    </row>
    <row r="81" customFormat="1" ht="14.25" customHeight="1" spans="1:11">
      <c r="A81" s="19"/>
      <c r="B81" s="19" t="s">
        <v>106</v>
      </c>
      <c r="C81" s="19" t="s">
        <v>89</v>
      </c>
      <c r="D81" s="19">
        <v>958</v>
      </c>
      <c r="E81" s="19"/>
      <c r="F81" s="19" t="s">
        <v>81</v>
      </c>
      <c r="G81" s="19"/>
      <c r="H81" s="19"/>
      <c r="I81" s="10"/>
      <c r="K81" s="26"/>
    </row>
    <row r="82" customFormat="1" ht="14.25" customHeight="1" spans="1:11">
      <c r="A82" s="19"/>
      <c r="B82" s="19" t="s">
        <v>107</v>
      </c>
      <c r="C82" s="19" t="s">
        <v>89</v>
      </c>
      <c r="D82" s="19">
        <v>962</v>
      </c>
      <c r="E82" s="19"/>
      <c r="F82" s="19" t="s">
        <v>81</v>
      </c>
      <c r="G82" s="19"/>
      <c r="H82" s="19"/>
      <c r="I82" s="10"/>
      <c r="K82" s="26"/>
    </row>
    <row r="83" customFormat="1" ht="14.25" customHeight="1" spans="1:11">
      <c r="A83" s="19"/>
      <c r="B83" s="19" t="s">
        <v>108</v>
      </c>
      <c r="C83" s="19" t="s">
        <v>89</v>
      </c>
      <c r="D83" s="19">
        <v>966</v>
      </c>
      <c r="E83" s="19"/>
      <c r="F83" s="19" t="s">
        <v>81</v>
      </c>
      <c r="G83" s="19"/>
      <c r="H83" s="19"/>
      <c r="I83" s="10"/>
      <c r="K83" s="26"/>
    </row>
    <row r="84" customFormat="1" ht="14.25" customHeight="1" spans="1:11">
      <c r="A84" s="19"/>
      <c r="B84" s="19" t="s">
        <v>109</v>
      </c>
      <c r="C84" s="19" t="s">
        <v>89</v>
      </c>
      <c r="D84" s="19">
        <v>970</v>
      </c>
      <c r="E84" s="19"/>
      <c r="F84" s="19" t="s">
        <v>81</v>
      </c>
      <c r="G84" s="19"/>
      <c r="H84" s="19"/>
      <c r="I84" s="10"/>
      <c r="K84" s="26"/>
    </row>
    <row r="85" customFormat="1" ht="14.25" customHeight="1" spans="1:11">
      <c r="A85" s="19"/>
      <c r="B85" s="19" t="s">
        <v>110</v>
      </c>
      <c r="C85" s="19" t="s">
        <v>89</v>
      </c>
      <c r="D85" s="19">
        <v>974</v>
      </c>
      <c r="E85" s="19"/>
      <c r="F85" s="19" t="s">
        <v>81</v>
      </c>
      <c r="G85" s="19"/>
      <c r="H85" s="19"/>
      <c r="I85" s="10"/>
      <c r="K85" s="26"/>
    </row>
    <row r="86" customFormat="1" ht="14.25" customHeight="1" spans="1:11">
      <c r="A86" s="19"/>
      <c r="B86" s="19" t="s">
        <v>111</v>
      </c>
      <c r="C86" s="19" t="s">
        <v>89</v>
      </c>
      <c r="D86" s="19">
        <v>978</v>
      </c>
      <c r="E86" s="19"/>
      <c r="F86" s="19" t="s">
        <v>81</v>
      </c>
      <c r="G86" s="19"/>
      <c r="H86" s="19"/>
      <c r="I86" s="10"/>
      <c r="K86" s="26"/>
    </row>
    <row r="87" customFormat="1" ht="14.25" customHeight="1" spans="1:11">
      <c r="A87" s="19"/>
      <c r="B87" s="19" t="s">
        <v>112</v>
      </c>
      <c r="C87" s="19" t="s">
        <v>89</v>
      </c>
      <c r="D87" s="19">
        <v>982</v>
      </c>
      <c r="E87" s="19"/>
      <c r="F87" s="19" t="s">
        <v>81</v>
      </c>
      <c r="G87" s="19"/>
      <c r="H87" s="19"/>
      <c r="I87" s="10"/>
      <c r="K87" s="26"/>
    </row>
    <row r="88" customFormat="1" ht="14.25" customHeight="1" spans="1:11">
      <c r="A88" s="19"/>
      <c r="B88" s="19" t="s">
        <v>113</v>
      </c>
      <c r="C88" s="19" t="s">
        <v>89</v>
      </c>
      <c r="D88" s="19">
        <v>986</v>
      </c>
      <c r="E88" s="19"/>
      <c r="F88" s="19" t="s">
        <v>81</v>
      </c>
      <c r="G88" s="19"/>
      <c r="H88" s="19"/>
      <c r="I88" s="10"/>
      <c r="K88" s="26"/>
    </row>
    <row r="89" customFormat="1" ht="14.25" customHeight="1" spans="1:11">
      <c r="A89" s="19"/>
      <c r="B89" s="19" t="s">
        <v>114</v>
      </c>
      <c r="C89" s="19" t="s">
        <v>89</v>
      </c>
      <c r="D89" s="19">
        <v>990</v>
      </c>
      <c r="E89" s="19"/>
      <c r="F89" s="19" t="s">
        <v>81</v>
      </c>
      <c r="G89" s="19"/>
      <c r="H89" s="19"/>
      <c r="I89" s="10"/>
      <c r="K89" s="26"/>
    </row>
    <row r="90" customFormat="1" ht="14.25" customHeight="1" spans="1:11">
      <c r="A90" s="19"/>
      <c r="B90" s="19" t="s">
        <v>115</v>
      </c>
      <c r="C90" s="19" t="s">
        <v>89</v>
      </c>
      <c r="D90" s="19">
        <v>994</v>
      </c>
      <c r="E90" s="19"/>
      <c r="F90" s="19" t="s">
        <v>115</v>
      </c>
      <c r="G90" s="19"/>
      <c r="H90" s="19"/>
      <c r="I90" s="10"/>
      <c r="K90" s="26"/>
    </row>
    <row r="91" customFormat="1" ht="14.25" customHeight="1" spans="1:11">
      <c r="A91" s="19"/>
      <c r="B91" s="19" t="s">
        <v>116</v>
      </c>
      <c r="C91" s="19" t="s">
        <v>89</v>
      </c>
      <c r="D91" s="19">
        <v>998</v>
      </c>
      <c r="E91" s="19"/>
      <c r="F91" s="19" t="s">
        <v>116</v>
      </c>
      <c r="G91" s="19"/>
      <c r="H91" s="19"/>
      <c r="I91" s="10"/>
      <c r="K91" s="26"/>
    </row>
    <row r="92" customFormat="1" ht="14.25" customHeight="1" spans="1:11">
      <c r="A92" s="19"/>
      <c r="B92" s="19" t="s">
        <v>117</v>
      </c>
      <c r="C92" s="19" t="s">
        <v>89</v>
      </c>
      <c r="D92" s="19">
        <v>1002</v>
      </c>
      <c r="E92" s="19"/>
      <c r="F92" s="19" t="s">
        <v>117</v>
      </c>
      <c r="G92" s="19"/>
      <c r="H92" s="19"/>
      <c r="I92" s="10"/>
      <c r="K92" s="26"/>
    </row>
    <row r="93" customFormat="1" ht="14.25" customHeight="1" spans="1:11">
      <c r="A93" s="19"/>
      <c r="B93" s="19" t="s">
        <v>118</v>
      </c>
      <c r="C93" s="19" t="s">
        <v>89</v>
      </c>
      <c r="D93" s="19">
        <v>1006</v>
      </c>
      <c r="E93" s="19"/>
      <c r="F93" s="19" t="s">
        <v>81</v>
      </c>
      <c r="G93" s="19"/>
      <c r="H93" s="19"/>
      <c r="I93" s="10"/>
      <c r="K93" s="26"/>
    </row>
    <row r="94" customFormat="1" ht="14.25" customHeight="1" spans="1:11">
      <c r="A94" s="19"/>
      <c r="B94" s="19" t="s">
        <v>119</v>
      </c>
      <c r="C94" s="19" t="s">
        <v>89</v>
      </c>
      <c r="D94" s="19">
        <v>1010</v>
      </c>
      <c r="E94" s="19"/>
      <c r="F94" s="19" t="s">
        <v>81</v>
      </c>
      <c r="G94" s="19"/>
      <c r="H94" s="19"/>
      <c r="I94" s="10"/>
      <c r="K94" s="26"/>
    </row>
    <row r="95" customFormat="1" ht="14.25" customHeight="1" spans="1:11">
      <c r="A95" s="19"/>
      <c r="B95" s="19" t="s">
        <v>120</v>
      </c>
      <c r="C95" s="19" t="s">
        <v>89</v>
      </c>
      <c r="D95" s="19">
        <v>1014</v>
      </c>
      <c r="E95" s="19"/>
      <c r="F95" s="19" t="s">
        <v>81</v>
      </c>
      <c r="G95" s="19"/>
      <c r="H95" s="19"/>
      <c r="I95" s="10"/>
      <c r="K95" s="26"/>
    </row>
    <row r="96" customFormat="1" ht="14.25" customHeight="1" spans="1:11">
      <c r="A96" s="19"/>
      <c r="B96" s="19" t="s">
        <v>121</v>
      </c>
      <c r="C96" s="19" t="s">
        <v>89</v>
      </c>
      <c r="D96" s="19">
        <v>1018</v>
      </c>
      <c r="E96" s="19"/>
      <c r="F96" s="19" t="s">
        <v>81</v>
      </c>
      <c r="G96" s="19"/>
      <c r="H96" s="19"/>
      <c r="I96" s="10"/>
      <c r="K96" s="26"/>
    </row>
    <row r="97" customFormat="1" ht="14.25" customHeight="1" spans="1:11">
      <c r="A97" s="19"/>
      <c r="B97" s="19" t="s">
        <v>122</v>
      </c>
      <c r="C97" s="19" t="s">
        <v>89</v>
      </c>
      <c r="D97" s="19">
        <v>1022</v>
      </c>
      <c r="E97" s="19"/>
      <c r="F97" s="19" t="s">
        <v>81</v>
      </c>
      <c r="G97" s="19"/>
      <c r="H97" s="19"/>
      <c r="I97" s="10"/>
      <c r="K97" s="26"/>
    </row>
    <row r="98" customFormat="1" ht="14.25" customHeight="1" spans="1:11">
      <c r="A98" s="19"/>
      <c r="B98" s="19" t="s">
        <v>123</v>
      </c>
      <c r="C98" s="19" t="s">
        <v>89</v>
      </c>
      <c r="D98" s="19">
        <v>1026</v>
      </c>
      <c r="E98" s="19"/>
      <c r="F98" s="19" t="s">
        <v>81</v>
      </c>
      <c r="G98" s="19"/>
      <c r="H98" s="19"/>
      <c r="I98" s="10"/>
      <c r="K98" s="26"/>
    </row>
    <row r="99" customFormat="1" ht="14.25" customHeight="1" spans="1:11">
      <c r="A99" s="19"/>
      <c r="B99" s="19" t="s">
        <v>124</v>
      </c>
      <c r="C99" s="19" t="s">
        <v>89</v>
      </c>
      <c r="D99" s="19">
        <v>1030</v>
      </c>
      <c r="E99" s="19"/>
      <c r="F99" s="19" t="s">
        <v>81</v>
      </c>
      <c r="G99" s="19"/>
      <c r="H99" s="19"/>
      <c r="I99" s="10"/>
      <c r="K99" s="26"/>
    </row>
    <row r="100" customFormat="1" ht="14.25" customHeight="1" spans="1:11">
      <c r="A100" s="19"/>
      <c r="B100" s="19" t="s">
        <v>125</v>
      </c>
      <c r="C100" s="19" t="s">
        <v>89</v>
      </c>
      <c r="D100" s="19">
        <v>1034</v>
      </c>
      <c r="E100" s="19"/>
      <c r="F100" s="19" t="s">
        <v>125</v>
      </c>
      <c r="G100" s="19"/>
      <c r="H100" s="19"/>
      <c r="I100" s="10"/>
      <c r="K100" s="26"/>
    </row>
    <row r="101" customFormat="1" ht="14.25" customHeight="1" spans="1:11">
      <c r="A101" s="19"/>
      <c r="B101" s="19" t="s">
        <v>126</v>
      </c>
      <c r="C101" s="19" t="s">
        <v>89</v>
      </c>
      <c r="D101" s="19">
        <v>1038</v>
      </c>
      <c r="E101" s="19"/>
      <c r="F101" s="19" t="s">
        <v>126</v>
      </c>
      <c r="G101" s="19"/>
      <c r="H101" s="19"/>
      <c r="I101" s="10"/>
      <c r="K101" s="26"/>
    </row>
    <row r="102" customFormat="1" ht="14.25" customHeight="1" spans="1:11">
      <c r="A102" s="19"/>
      <c r="B102" s="19" t="s">
        <v>127</v>
      </c>
      <c r="C102" s="19" t="s">
        <v>89</v>
      </c>
      <c r="D102" s="19">
        <v>1042</v>
      </c>
      <c r="E102" s="19"/>
      <c r="F102" s="19" t="s">
        <v>127</v>
      </c>
      <c r="G102" s="19"/>
      <c r="H102" s="19"/>
      <c r="I102" s="10"/>
      <c r="K102" s="26"/>
    </row>
    <row r="103" customFormat="1" ht="14.25" customHeight="1" spans="1:11">
      <c r="A103" s="19"/>
      <c r="B103" s="19" t="s">
        <v>128</v>
      </c>
      <c r="C103" s="19" t="s">
        <v>89</v>
      </c>
      <c r="D103" s="19">
        <v>1046</v>
      </c>
      <c r="E103" s="19"/>
      <c r="F103" s="19" t="s">
        <v>81</v>
      </c>
      <c r="G103" s="19"/>
      <c r="H103" s="19"/>
      <c r="I103" s="10"/>
      <c r="K103" s="26"/>
    </row>
    <row r="104" customFormat="1" ht="14.25" customHeight="1" spans="1:11">
      <c r="A104" s="19"/>
      <c r="B104" s="19" t="s">
        <v>129</v>
      </c>
      <c r="C104" s="19" t="s">
        <v>89</v>
      </c>
      <c r="D104" s="19">
        <v>1050</v>
      </c>
      <c r="E104" s="19"/>
      <c r="F104" s="19" t="s">
        <v>81</v>
      </c>
      <c r="G104" s="19"/>
      <c r="H104" s="19"/>
      <c r="I104" s="10"/>
      <c r="K104" s="26"/>
    </row>
    <row r="105" customFormat="1" ht="14.25" customHeight="1" spans="1:11">
      <c r="A105" s="19"/>
      <c r="B105" s="19" t="s">
        <v>130</v>
      </c>
      <c r="C105" s="19" t="s">
        <v>89</v>
      </c>
      <c r="D105" s="19">
        <v>1054</v>
      </c>
      <c r="E105" s="19"/>
      <c r="F105" s="19" t="s">
        <v>81</v>
      </c>
      <c r="G105" s="19"/>
      <c r="H105" s="19"/>
      <c r="I105" s="10"/>
      <c r="K105" s="26"/>
    </row>
    <row r="106" customFormat="1" ht="14.25" customHeight="1" spans="1:11">
      <c r="A106" s="19"/>
      <c r="B106" s="19" t="s">
        <v>131</v>
      </c>
      <c r="C106" s="19" t="s">
        <v>89</v>
      </c>
      <c r="D106" s="19">
        <v>1058</v>
      </c>
      <c r="E106" s="19"/>
      <c r="F106" s="19" t="s">
        <v>81</v>
      </c>
      <c r="G106" s="19"/>
      <c r="H106" s="19"/>
      <c r="I106" s="10"/>
      <c r="K106" s="26"/>
    </row>
    <row r="107" customFormat="1" ht="14.25" customHeight="1" spans="1:11">
      <c r="A107" s="19"/>
      <c r="B107" s="19" t="s">
        <v>132</v>
      </c>
      <c r="C107" s="19" t="s">
        <v>89</v>
      </c>
      <c r="D107" s="19">
        <v>1062</v>
      </c>
      <c r="E107" s="19"/>
      <c r="F107" s="19" t="s">
        <v>81</v>
      </c>
      <c r="G107" s="19"/>
      <c r="H107" s="19"/>
      <c r="I107" s="10"/>
      <c r="K107" s="26"/>
    </row>
    <row r="108" customFormat="1" ht="14.25" customHeight="1" spans="1:11">
      <c r="A108" s="19"/>
      <c r="B108" s="19" t="s">
        <v>133</v>
      </c>
      <c r="C108" s="19" t="s">
        <v>89</v>
      </c>
      <c r="D108" s="19">
        <v>1066</v>
      </c>
      <c r="E108" s="19"/>
      <c r="F108" s="19" t="s">
        <v>81</v>
      </c>
      <c r="G108" s="19"/>
      <c r="H108" s="19"/>
      <c r="I108" s="10"/>
      <c r="K108" s="26"/>
    </row>
    <row r="109" customFormat="1" ht="14.25" customHeight="1" spans="1:11">
      <c r="A109" s="19"/>
      <c r="B109" s="19" t="s">
        <v>134</v>
      </c>
      <c r="C109" s="19" t="s">
        <v>89</v>
      </c>
      <c r="D109" s="19">
        <v>1070</v>
      </c>
      <c r="E109" s="19"/>
      <c r="F109" s="19" t="s">
        <v>81</v>
      </c>
      <c r="G109" s="19"/>
      <c r="H109" s="19"/>
      <c r="I109" s="10"/>
      <c r="K109" s="26"/>
    </row>
    <row r="110" customFormat="1" ht="14.25" customHeight="1" spans="1:11">
      <c r="A110" s="19"/>
      <c r="B110" s="19" t="s">
        <v>135</v>
      </c>
      <c r="C110" s="19" t="s">
        <v>89</v>
      </c>
      <c r="D110" s="19">
        <v>1074</v>
      </c>
      <c r="E110" s="19"/>
      <c r="F110" s="19" t="s">
        <v>135</v>
      </c>
      <c r="G110" s="19"/>
      <c r="H110" s="19"/>
      <c r="I110" s="10"/>
      <c r="K110" s="26"/>
    </row>
    <row r="111" customFormat="1" ht="14.25" customHeight="1" spans="1:11">
      <c r="A111" s="19"/>
      <c r="B111" s="19" t="s">
        <v>136</v>
      </c>
      <c r="C111" s="19" t="s">
        <v>89</v>
      </c>
      <c r="D111" s="19">
        <v>1078</v>
      </c>
      <c r="E111" s="19"/>
      <c r="F111" s="19" t="s">
        <v>136</v>
      </c>
      <c r="G111" s="19"/>
      <c r="H111" s="19"/>
      <c r="I111" s="10"/>
      <c r="K111" s="26"/>
    </row>
    <row r="112" customFormat="1" ht="14.25" customHeight="1" spans="1:11">
      <c r="A112" s="19"/>
      <c r="B112" s="19" t="s">
        <v>137</v>
      </c>
      <c r="C112" s="19" t="s">
        <v>89</v>
      </c>
      <c r="D112" s="19">
        <v>1082</v>
      </c>
      <c r="E112" s="19"/>
      <c r="F112" s="19" t="s">
        <v>137</v>
      </c>
      <c r="G112" s="19"/>
      <c r="H112" s="19"/>
      <c r="I112" s="10"/>
      <c r="K112" s="26"/>
    </row>
    <row r="113" customFormat="1" ht="14.25" customHeight="1" spans="1:11">
      <c r="A113" s="19"/>
      <c r="B113" s="19" t="s">
        <v>138</v>
      </c>
      <c r="C113" s="19" t="s">
        <v>89</v>
      </c>
      <c r="D113" s="19">
        <v>1086</v>
      </c>
      <c r="E113" s="19"/>
      <c r="F113" s="19" t="s">
        <v>81</v>
      </c>
      <c r="G113" s="19"/>
      <c r="H113" s="19"/>
      <c r="I113" s="10"/>
      <c r="K113" s="26"/>
    </row>
    <row r="114" customFormat="1" ht="14.25" customHeight="1" spans="1:11">
      <c r="A114" s="19"/>
      <c r="B114" s="19" t="s">
        <v>139</v>
      </c>
      <c r="C114" s="19" t="s">
        <v>89</v>
      </c>
      <c r="D114" s="19">
        <v>1090</v>
      </c>
      <c r="E114" s="19"/>
      <c r="F114" s="19" t="s">
        <v>81</v>
      </c>
      <c r="G114" s="19"/>
      <c r="H114" s="19"/>
      <c r="I114" s="10"/>
      <c r="K114" s="26"/>
    </row>
    <row r="115" customFormat="1" ht="14.25" customHeight="1" spans="1:11">
      <c r="A115" s="19"/>
      <c r="B115" s="19" t="s">
        <v>140</v>
      </c>
      <c r="C115" s="19" t="s">
        <v>89</v>
      </c>
      <c r="D115" s="19">
        <v>1094</v>
      </c>
      <c r="E115" s="19"/>
      <c r="F115" s="19" t="s">
        <v>81</v>
      </c>
      <c r="G115" s="19"/>
      <c r="H115" s="19"/>
      <c r="I115" s="10"/>
      <c r="K115" s="26"/>
    </row>
    <row r="116" customFormat="1" ht="14.25" customHeight="1" spans="1:11">
      <c r="A116" s="19"/>
      <c r="B116" s="19" t="s">
        <v>141</v>
      </c>
      <c r="C116" s="19" t="s">
        <v>89</v>
      </c>
      <c r="D116" s="19">
        <v>1098</v>
      </c>
      <c r="E116" s="19"/>
      <c r="F116" s="19" t="s">
        <v>81</v>
      </c>
      <c r="G116" s="19"/>
      <c r="H116" s="19"/>
      <c r="I116" s="10"/>
      <c r="K116" s="26"/>
    </row>
    <row r="117" customFormat="1" ht="14.25" customHeight="1" spans="1:11">
      <c r="A117" s="19"/>
      <c r="B117" s="19" t="s">
        <v>142</v>
      </c>
      <c r="C117" s="19" t="s">
        <v>89</v>
      </c>
      <c r="D117" s="19">
        <v>1102</v>
      </c>
      <c r="E117" s="19"/>
      <c r="F117" s="19" t="s">
        <v>81</v>
      </c>
      <c r="G117" s="19"/>
      <c r="H117" s="19"/>
      <c r="I117" s="10"/>
      <c r="K117" s="26"/>
    </row>
    <row r="118" customFormat="1" ht="14.25" customHeight="1" spans="1:11">
      <c r="A118" s="19"/>
      <c r="B118" s="19" t="s">
        <v>143</v>
      </c>
      <c r="C118" s="19" t="s">
        <v>89</v>
      </c>
      <c r="D118" s="19">
        <v>1106</v>
      </c>
      <c r="E118" s="19"/>
      <c r="F118" s="19" t="s">
        <v>81</v>
      </c>
      <c r="G118" s="19"/>
      <c r="H118" s="19"/>
      <c r="I118" s="10"/>
      <c r="K118" s="26"/>
    </row>
    <row r="119" customFormat="1" ht="14.25" customHeight="1" spans="1:11">
      <c r="A119" s="19"/>
      <c r="B119" s="19" t="s">
        <v>144</v>
      </c>
      <c r="C119" s="19" t="s">
        <v>89</v>
      </c>
      <c r="D119" s="19">
        <v>1110</v>
      </c>
      <c r="E119" s="19"/>
      <c r="F119" s="19" t="s">
        <v>81</v>
      </c>
      <c r="G119" s="19"/>
      <c r="H119" s="19"/>
      <c r="I119" s="10"/>
      <c r="K119" s="26"/>
    </row>
    <row r="120" customFormat="1" ht="14.25" customHeight="1" spans="1:11">
      <c r="A120" s="19"/>
      <c r="B120" s="19" t="s">
        <v>145</v>
      </c>
      <c r="C120" s="19" t="s">
        <v>89</v>
      </c>
      <c r="D120" s="19">
        <v>1114</v>
      </c>
      <c r="E120" s="19"/>
      <c r="F120" s="19" t="s">
        <v>145</v>
      </c>
      <c r="G120" s="19"/>
      <c r="H120" s="19"/>
      <c r="I120" s="10"/>
      <c r="K120" s="26"/>
    </row>
    <row r="121" customFormat="1" ht="14.25" customHeight="1" spans="1:11">
      <c r="A121" s="19"/>
      <c r="B121" s="19" t="s">
        <v>146</v>
      </c>
      <c r="C121" s="19" t="s">
        <v>89</v>
      </c>
      <c r="D121" s="19">
        <v>1118</v>
      </c>
      <c r="E121" s="19"/>
      <c r="F121" s="19" t="s">
        <v>146</v>
      </c>
      <c r="G121" s="19"/>
      <c r="H121" s="19"/>
      <c r="I121" s="10"/>
      <c r="K121" s="26"/>
    </row>
    <row r="122" customFormat="1" ht="14.25" customHeight="1" spans="1:11">
      <c r="A122" s="19"/>
      <c r="B122" s="19" t="s">
        <v>147</v>
      </c>
      <c r="C122" s="19" t="s">
        <v>89</v>
      </c>
      <c r="D122" s="19">
        <v>1122</v>
      </c>
      <c r="E122" s="19"/>
      <c r="F122" s="19" t="s">
        <v>147</v>
      </c>
      <c r="G122" s="19"/>
      <c r="H122" s="19"/>
      <c r="I122" s="10"/>
      <c r="K122" s="26"/>
    </row>
    <row r="123" customFormat="1" ht="14.25" customHeight="1" spans="1:11">
      <c r="A123" s="19"/>
      <c r="B123" s="19" t="s">
        <v>148</v>
      </c>
      <c r="C123" s="19" t="s">
        <v>89</v>
      </c>
      <c r="D123" s="19">
        <v>1126</v>
      </c>
      <c r="E123" s="19"/>
      <c r="F123" s="19" t="s">
        <v>81</v>
      </c>
      <c r="G123" s="19"/>
      <c r="H123" s="19"/>
      <c r="I123" s="10"/>
      <c r="K123" s="26"/>
    </row>
    <row r="124" customFormat="1" ht="14.25" customHeight="1" spans="1:11">
      <c r="A124" s="19"/>
      <c r="B124" s="19" t="s">
        <v>149</v>
      </c>
      <c r="C124" s="19" t="s">
        <v>89</v>
      </c>
      <c r="D124" s="19">
        <v>1130</v>
      </c>
      <c r="E124" s="19"/>
      <c r="F124" s="19" t="s">
        <v>81</v>
      </c>
      <c r="G124" s="19"/>
      <c r="H124" s="19"/>
      <c r="I124" s="10"/>
      <c r="K124" s="26"/>
    </row>
    <row r="125" customFormat="1" ht="14.25" customHeight="1" spans="1:11">
      <c r="A125" s="19"/>
      <c r="B125" s="19" t="s">
        <v>150</v>
      </c>
      <c r="C125" s="19" t="s">
        <v>89</v>
      </c>
      <c r="D125" s="19">
        <v>1134</v>
      </c>
      <c r="E125" s="19"/>
      <c r="F125" s="19" t="s">
        <v>81</v>
      </c>
      <c r="G125" s="19"/>
      <c r="H125" s="19"/>
      <c r="I125" s="10"/>
      <c r="K125" s="26"/>
    </row>
    <row r="126" customFormat="1" ht="14.25" customHeight="1" spans="1:11">
      <c r="A126" s="19"/>
      <c r="B126" s="19" t="s">
        <v>151</v>
      </c>
      <c r="C126" s="19" t="s">
        <v>89</v>
      </c>
      <c r="D126" s="19">
        <v>1138</v>
      </c>
      <c r="E126" s="19"/>
      <c r="F126" s="19" t="s">
        <v>81</v>
      </c>
      <c r="G126" s="19"/>
      <c r="H126" s="19"/>
      <c r="I126" s="10"/>
      <c r="K126" s="26"/>
    </row>
    <row r="127" customFormat="1" ht="14.25" customHeight="1" spans="1:11">
      <c r="A127" s="19"/>
      <c r="B127" s="19" t="s">
        <v>152</v>
      </c>
      <c r="C127" s="19" t="s">
        <v>89</v>
      </c>
      <c r="D127" s="19">
        <v>1142</v>
      </c>
      <c r="E127" s="19"/>
      <c r="F127" s="19" t="s">
        <v>81</v>
      </c>
      <c r="G127" s="19"/>
      <c r="H127" s="19"/>
      <c r="I127" s="10"/>
      <c r="K127" s="26"/>
    </row>
    <row r="128" customFormat="1" ht="14.25" customHeight="1" spans="1:11">
      <c r="A128" s="19"/>
      <c r="B128" s="19" t="s">
        <v>153</v>
      </c>
      <c r="C128" s="19" t="s">
        <v>89</v>
      </c>
      <c r="D128" s="19">
        <v>1146</v>
      </c>
      <c r="E128" s="19"/>
      <c r="F128" s="19" t="s">
        <v>81</v>
      </c>
      <c r="G128" s="19"/>
      <c r="H128" s="19"/>
      <c r="I128" s="10"/>
      <c r="K128" s="26"/>
    </row>
    <row r="129" customFormat="1" ht="14.25" customHeight="1" spans="1:17">
      <c r="A129" s="19"/>
      <c r="B129" s="19" t="s">
        <v>154</v>
      </c>
      <c r="C129" s="19" t="s">
        <v>89</v>
      </c>
      <c r="D129" s="19">
        <v>1150</v>
      </c>
      <c r="E129" s="19"/>
      <c r="F129" s="19" t="s">
        <v>81</v>
      </c>
      <c r="G129" s="19"/>
      <c r="H129" s="19"/>
      <c r="I129" s="10"/>
      <c r="K129" s="26"/>
    </row>
    <row r="130" customFormat="1" ht="14.25" customHeight="1" spans="1:17">
      <c r="A130" s="19"/>
      <c r="B130" s="19"/>
      <c r="C130" s="19"/>
      <c r="D130" s="19"/>
      <c r="E130" s="19"/>
      <c r="F130" s="19"/>
      <c r="G130" s="19"/>
      <c r="H130" s="19">
        <v>200</v>
      </c>
      <c r="I130" s="10"/>
      <c r="K130" s="26"/>
    </row>
    <row r="131" customFormat="1" ht="14.25" customHeight="1" spans="1:17">
      <c r="A131" s="27" t="s">
        <v>9</v>
      </c>
      <c r="B131" s="28"/>
      <c r="C131" s="28"/>
      <c r="D131" s="28"/>
      <c r="E131" s="28"/>
      <c r="F131" s="28"/>
      <c r="G131" s="28"/>
      <c r="H131" s="29"/>
      <c r="I131" s="8" t="s">
        <v>155</v>
      </c>
      <c r="J131" s="30" t="s">
        <v>11</v>
      </c>
      <c r="K131" s="31"/>
      <c r="L131" s="31"/>
      <c r="M131" s="31"/>
      <c r="N131" s="31"/>
      <c r="O131" s="31"/>
      <c r="P131" s="31"/>
      <c r="Q131" s="32"/>
    </row>
    <row r="132" ht="14.25" customHeight="1" spans="1:17">
      <c r="A132" s="33"/>
      <c r="B132" s="34"/>
      <c r="C132" s="34"/>
      <c r="D132" s="34"/>
      <c r="E132" s="34"/>
      <c r="F132" s="34"/>
      <c r="G132" s="34"/>
      <c r="H132" s="35"/>
      <c r="I132" s="17"/>
      <c r="J132" s="36"/>
      <c r="K132" s="37"/>
      <c r="L132" s="37"/>
      <c r="M132" s="37"/>
      <c r="N132" s="37"/>
      <c r="O132" s="37"/>
      <c r="P132" s="37"/>
      <c r="Q132" s="38"/>
    </row>
    <row r="133" customFormat="1" customHeight="1" spans="1:17">
      <c r="A133" s="19"/>
      <c r="B133" s="19" t="s">
        <v>12</v>
      </c>
      <c r="C133" s="19" t="s">
        <v>13</v>
      </c>
      <c r="D133" s="19">
        <v>1400</v>
      </c>
      <c r="E133" s="19"/>
      <c r="F133" s="19" t="s">
        <v>14</v>
      </c>
      <c r="G133" s="19"/>
      <c r="H133" s="19">
        <v>200</v>
      </c>
      <c r="I133" s="17"/>
      <c r="K133" t="s">
        <v>15</v>
      </c>
      <c r="L133" t="s">
        <v>13</v>
      </c>
      <c r="M133">
        <v>3700</v>
      </c>
      <c r="O133" t="s">
        <v>16</v>
      </c>
      <c r="Q133">
        <v>200</v>
      </c>
    </row>
    <row r="134" spans="1:17">
      <c r="A134" s="19"/>
      <c r="B134" s="19" t="s">
        <v>156</v>
      </c>
      <c r="C134" s="19" t="s">
        <v>42</v>
      </c>
      <c r="D134" s="19">
        <v>1402</v>
      </c>
      <c r="E134" s="19"/>
      <c r="F134" s="19" t="s">
        <v>157</v>
      </c>
      <c r="G134" s="19"/>
      <c r="H134" s="19">
        <v>200</v>
      </c>
      <c r="I134" s="17"/>
      <c r="K134" t="s">
        <v>20</v>
      </c>
      <c r="L134" t="s">
        <v>21</v>
      </c>
      <c r="M134">
        <v>3702</v>
      </c>
      <c r="O134" t="s">
        <v>55</v>
      </c>
      <c r="Q134">
        <v>200</v>
      </c>
    </row>
    <row r="135" spans="1:17">
      <c r="A135" s="19"/>
      <c r="B135" s="19" t="s">
        <v>56</v>
      </c>
      <c r="C135" s="19" t="s">
        <v>57</v>
      </c>
      <c r="D135" s="19">
        <v>1404</v>
      </c>
      <c r="E135" s="19"/>
      <c r="F135" s="19" t="s">
        <v>158</v>
      </c>
      <c r="G135" s="19"/>
      <c r="H135" s="19">
        <v>200</v>
      </c>
      <c r="I135" s="17"/>
      <c r="K135" t="s">
        <v>156</v>
      </c>
      <c r="L135" t="s">
        <v>42</v>
      </c>
      <c r="M135">
        <v>3704</v>
      </c>
      <c r="O135" t="s">
        <v>157</v>
      </c>
      <c r="Q135">
        <v>200</v>
      </c>
    </row>
    <row r="136" spans="1:17">
      <c r="I136" s="17"/>
      <c r="K136" t="s">
        <v>56</v>
      </c>
      <c r="L136" t="s">
        <v>57</v>
      </c>
      <c r="M136">
        <v>3706</v>
      </c>
      <c r="O136" t="s">
        <v>158</v>
      </c>
      <c r="Q136">
        <v>200</v>
      </c>
    </row>
    <row r="137" spans="1:17">
      <c r="I137" s="17"/>
    </row>
    <row r="138" spans="1:17">
      <c r="I138" s="18"/>
    </row>
    <row r="139" customFormat="1" ht="14.25" customHeight="1" spans="1:17">
      <c r="A139" s="39" t="s">
        <v>9</v>
      </c>
      <c r="B139" s="40"/>
      <c r="C139" s="40"/>
      <c r="D139" s="40"/>
      <c r="E139" s="40"/>
      <c r="F139" s="40"/>
      <c r="G139" s="40"/>
      <c r="H139" s="41"/>
      <c r="I139" s="10" t="s">
        <v>159</v>
      </c>
      <c r="J139" s="30" t="s">
        <v>11</v>
      </c>
      <c r="K139" s="31"/>
      <c r="L139" s="31"/>
      <c r="M139" s="31"/>
      <c r="N139" s="31"/>
      <c r="O139" s="31"/>
      <c r="P139" s="31"/>
      <c r="Q139" s="32"/>
    </row>
    <row r="140" ht="14.25" customHeight="1" spans="1:17">
      <c r="A140" s="42"/>
      <c r="B140" s="43"/>
      <c r="C140" s="43"/>
      <c r="D140" s="43"/>
      <c r="E140" s="43"/>
      <c r="F140" s="43"/>
      <c r="G140" s="43"/>
      <c r="H140" s="44"/>
      <c r="I140" s="10"/>
      <c r="J140" s="36"/>
      <c r="K140" s="37"/>
      <c r="L140" s="37"/>
      <c r="M140" s="37"/>
      <c r="N140" s="37"/>
      <c r="O140" s="37"/>
      <c r="P140" s="37"/>
      <c r="Q140" s="38"/>
    </row>
    <row r="141" customFormat="1" customHeight="1" spans="1:17">
      <c r="I141" s="18"/>
      <c r="K141" t="s">
        <v>160</v>
      </c>
      <c r="L141" t="s">
        <v>13</v>
      </c>
      <c r="M141">
        <v>5000</v>
      </c>
      <c r="O141" t="s">
        <v>161</v>
      </c>
      <c r="Q141">
        <v>200</v>
      </c>
    </row>
    <row r="143" customHeight="1" spans="1:17">
      <c r="A143" s="39" t="s">
        <v>9</v>
      </c>
      <c r="B143" s="40"/>
      <c r="C143" s="40"/>
      <c r="D143" s="40"/>
      <c r="E143" s="40"/>
      <c r="F143" s="40"/>
      <c r="G143" s="40"/>
      <c r="H143" s="41"/>
      <c r="I143" s="10" t="s">
        <v>162</v>
      </c>
      <c r="J143" s="30" t="s">
        <v>11</v>
      </c>
      <c r="K143" s="31"/>
      <c r="L143" s="31"/>
      <c r="M143" s="31"/>
      <c r="N143" s="31"/>
      <c r="O143" s="31"/>
      <c r="P143" s="31"/>
      <c r="Q143" s="32"/>
    </row>
    <row r="144" customHeight="1" spans="1:17">
      <c r="A144" s="42"/>
      <c r="B144" s="43"/>
      <c r="C144" s="43"/>
      <c r="D144" s="43"/>
      <c r="E144" s="43"/>
      <c r="F144" s="43"/>
      <c r="G144" s="43"/>
      <c r="H144" s="44"/>
      <c r="I144" s="10"/>
      <c r="J144" s="36"/>
      <c r="K144" s="37"/>
      <c r="L144" s="37"/>
      <c r="M144" s="37"/>
      <c r="N144" s="37"/>
      <c r="O144" s="37"/>
      <c r="P144" s="37"/>
      <c r="Q144" s="38"/>
    </row>
    <row r="145" customHeight="1" spans="2:17">
      <c r="B145" s="19" t="s">
        <v>12</v>
      </c>
      <c r="C145" s="19" t="s">
        <v>13</v>
      </c>
      <c r="D145" s="19">
        <v>1440</v>
      </c>
      <c r="E145" s="19"/>
      <c r="F145" s="19" t="s">
        <v>14</v>
      </c>
      <c r="G145" s="19"/>
      <c r="H145" s="19">
        <v>200</v>
      </c>
      <c r="I145" s="18"/>
      <c r="K145" t="s">
        <v>15</v>
      </c>
      <c r="L145" t="s">
        <v>13</v>
      </c>
      <c r="M145">
        <v>3740</v>
      </c>
      <c r="O145" t="s">
        <v>16</v>
      </c>
      <c r="Q145">
        <v>200</v>
      </c>
    </row>
    <row r="146" spans="2:17">
      <c r="B146" t="s">
        <v>163</v>
      </c>
      <c r="C146" t="s">
        <v>18</v>
      </c>
      <c r="D146" s="19">
        <v>1442</v>
      </c>
      <c r="F146" t="s">
        <v>164</v>
      </c>
      <c r="G146">
        <v>24</v>
      </c>
      <c r="H146" s="19">
        <v>200</v>
      </c>
      <c r="K146" t="s">
        <v>20</v>
      </c>
      <c r="L146" t="s">
        <v>21</v>
      </c>
      <c r="M146">
        <v>3742</v>
      </c>
      <c r="O146" t="s">
        <v>55</v>
      </c>
      <c r="Q146">
        <v>200</v>
      </c>
    </row>
    <row r="147" spans="2:17">
      <c r="B147" t="s">
        <v>165</v>
      </c>
      <c r="C147" t="s">
        <v>18</v>
      </c>
      <c r="D147" s="19">
        <v>1468</v>
      </c>
      <c r="F147" t="s">
        <v>166</v>
      </c>
      <c r="G147">
        <v>24</v>
      </c>
      <c r="H147" s="19">
        <v>200</v>
      </c>
      <c r="K147" t="s">
        <v>165</v>
      </c>
      <c r="L147" t="s">
        <v>18</v>
      </c>
      <c r="M147">
        <v>3744</v>
      </c>
      <c r="O147" t="s">
        <v>166</v>
      </c>
      <c r="P147">
        <v>24</v>
      </c>
      <c r="Q147">
        <v>200</v>
      </c>
    </row>
    <row r="148" spans="2:17">
      <c r="B148" t="s">
        <v>167</v>
      </c>
      <c r="C148" t="s">
        <v>21</v>
      </c>
      <c r="D148" s="19">
        <v>1494</v>
      </c>
      <c r="F148" t="s">
        <v>168</v>
      </c>
      <c r="K148" t="s">
        <v>167</v>
      </c>
      <c r="L148" t="s">
        <v>21</v>
      </c>
      <c r="M148">
        <v>3770</v>
      </c>
      <c r="O148" t="s">
        <v>168</v>
      </c>
      <c r="Q148">
        <v>200</v>
      </c>
    </row>
  </sheetData>
  <mergeCells count="30">
    <mergeCell ref="I2:I7"/>
    <mergeCell ref="I8:I12"/>
    <mergeCell ref="I13:I18"/>
    <mergeCell ref="I19:I28"/>
    <mergeCell ref="I29:I36"/>
    <mergeCell ref="I37:I44"/>
    <mergeCell ref="I45:I130"/>
    <mergeCell ref="I131:I138"/>
    <mergeCell ref="I139:I141"/>
    <mergeCell ref="I143:I145"/>
    <mergeCell ref="A2:H3"/>
    <mergeCell ref="J2:Q3"/>
    <mergeCell ref="A8:H9"/>
    <mergeCell ref="J8:Q9"/>
    <mergeCell ref="A13:H14"/>
    <mergeCell ref="J13:Q14"/>
    <mergeCell ref="A19:H20"/>
    <mergeCell ref="J19:Q20"/>
    <mergeCell ref="A29:H30"/>
    <mergeCell ref="J29:Q30"/>
    <mergeCell ref="A37:H38"/>
    <mergeCell ref="J37:Q38"/>
    <mergeCell ref="A45:H46"/>
    <mergeCell ref="J45:Q46"/>
    <mergeCell ref="A143:H144"/>
    <mergeCell ref="J143:Q144"/>
    <mergeCell ref="A139:H140"/>
    <mergeCell ref="J139:Q140"/>
    <mergeCell ref="A131:H132"/>
    <mergeCell ref="J131:Q13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模组入箱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31068</dc:creator>
  <cp:lastModifiedBy>liqiancheng</cp:lastModifiedBy>
  <dcterms:created xsi:type="dcterms:W3CDTF">2026-02-03T02:16:00Z</dcterms:created>
  <dcterms:modified xsi:type="dcterms:W3CDTF">2026-04-10T09:13:21Z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B69B1F9E50DF484F872F741AF65629F8_13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