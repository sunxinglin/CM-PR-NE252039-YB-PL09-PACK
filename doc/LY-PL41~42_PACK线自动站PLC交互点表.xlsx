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ES\SourceCode\PackNew\doc\"/>
    </mc:Choice>
  </mc:AlternateContent>
  <bookViews>
    <workbookView xWindow="-120" yWindow="-120" windowWidth="29040" windowHeight="17790" activeTab="2"/>
  </bookViews>
  <sheets>
    <sheet name="修改内容" sheetId="8" r:id="rId1"/>
    <sheet name="加热膜加压OP050" sheetId="9" r:id="rId2"/>
    <sheet name="下箱体涂胶OP080" sheetId="1" r:id="rId3"/>
    <sheet name="模组入箱OP120~140" sheetId="2" r:id="rId4"/>
    <sheet name="肩部涂胶OP270" sheetId="5" r:id="rId5"/>
    <sheet name="压条加压OP290" sheetId="6" r:id="rId6"/>
    <sheet name="上盖拧紧OP510~520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5" l="1"/>
  <c r="G58" i="2" l="1"/>
  <c r="G50" i="2"/>
  <c r="A58" i="2"/>
  <c r="A50" i="2"/>
  <c r="A44" i="7" l="1"/>
  <c r="A37" i="7"/>
  <c r="A30" i="7"/>
  <c r="M10" i="6"/>
  <c r="M9" i="6"/>
  <c r="M8" i="6"/>
  <c r="A44" i="6"/>
  <c r="A37" i="6"/>
  <c r="A30" i="6"/>
  <c r="M11" i="6"/>
  <c r="M8" i="2"/>
  <c r="M9" i="2" s="1"/>
  <c r="M10" i="2" s="1"/>
  <c r="M11" i="2" s="1"/>
  <c r="M12" i="2" s="1"/>
  <c r="M13" i="2" s="1"/>
  <c r="M14" i="2" s="1"/>
  <c r="M15" i="2" s="1"/>
  <c r="M16" i="2" s="1"/>
  <c r="A44" i="9"/>
  <c r="A37" i="9"/>
  <c r="A30" i="9"/>
  <c r="M11" i="9"/>
  <c r="M11" i="5"/>
  <c r="G26" i="7"/>
  <c r="G30" i="7" s="1"/>
  <c r="G31" i="7" s="1"/>
  <c r="G33" i="7" s="1"/>
  <c r="G37" i="7" s="1"/>
  <c r="G38" i="7" s="1"/>
  <c r="G40" i="7" s="1"/>
  <c r="G44" i="7" s="1"/>
  <c r="G45" i="7" s="1"/>
  <c r="G15" i="7"/>
  <c r="A15" i="7"/>
  <c r="A26" i="7" s="1"/>
  <c r="A28" i="7" s="1"/>
  <c r="A29" i="7" s="1"/>
  <c r="A33" i="7" s="1"/>
  <c r="A35" i="7" s="1"/>
  <c r="A36" i="7" s="1"/>
  <c r="G45" i="6"/>
  <c r="G44" i="6"/>
  <c r="G40" i="6"/>
  <c r="G38" i="6"/>
  <c r="G31" i="6"/>
  <c r="G15" i="6"/>
  <c r="G26" i="6" s="1"/>
  <c r="G30" i="6" s="1"/>
  <c r="G33" i="6" s="1"/>
  <c r="G37" i="6" s="1"/>
  <c r="A15" i="6"/>
  <c r="A26" i="6" s="1"/>
  <c r="A28" i="6" s="1"/>
  <c r="A29" i="6" s="1"/>
  <c r="A33" i="6" s="1"/>
  <c r="A35" i="6" s="1"/>
  <c r="A36" i="6" s="1"/>
  <c r="A40" i="6" s="1"/>
  <c r="A42" i="6" s="1"/>
  <c r="A43" i="6" s="1"/>
  <c r="A45" i="6" s="1"/>
  <c r="A46" i="6" s="1"/>
  <c r="A47" i="6" s="1"/>
  <c r="A48" i="6" s="1"/>
  <c r="A49" i="6" s="1"/>
  <c r="A50" i="6" s="1"/>
  <c r="A51" i="6" s="1"/>
  <c r="G15" i="5"/>
  <c r="G26" i="5" s="1"/>
  <c r="G30" i="5" s="1"/>
  <c r="G34" i="5" s="1"/>
  <c r="G38" i="5" s="1"/>
  <c r="G39" i="5" s="1"/>
  <c r="G41" i="5" s="1"/>
  <c r="G45" i="5" s="1"/>
  <c r="G46" i="5" s="1"/>
  <c r="G54" i="5" s="1"/>
  <c r="G58" i="5" s="1"/>
  <c r="A15" i="5"/>
  <c r="A26" i="5" s="1"/>
  <c r="A28" i="5" s="1"/>
  <c r="A29" i="5" s="1"/>
  <c r="A30" i="5" s="1"/>
  <c r="G15" i="2"/>
  <c r="G26" i="2" s="1"/>
  <c r="G30" i="2" s="1"/>
  <c r="G31" i="2" s="1"/>
  <c r="G32" i="2" s="1"/>
  <c r="G33" i="2" s="1"/>
  <c r="G35" i="2" s="1"/>
  <c r="G39" i="2" s="1"/>
  <c r="G40" i="2" s="1"/>
  <c r="G41" i="2" s="1"/>
  <c r="G43" i="2" s="1"/>
  <c r="G47" i="2" s="1"/>
  <c r="A15" i="2"/>
  <c r="A26" i="2" s="1"/>
  <c r="A28" i="2" s="1"/>
  <c r="G15" i="1"/>
  <c r="G26" i="1" s="1"/>
  <c r="G30" i="1" s="1"/>
  <c r="G31" i="1" s="1"/>
  <c r="G33" i="1" s="1"/>
  <c r="G37" i="1" s="1"/>
  <c r="G38" i="1" s="1"/>
  <c r="G40" i="1" s="1"/>
  <c r="G44" i="1" s="1"/>
  <c r="G45" i="1" s="1"/>
  <c r="G54" i="1" s="1"/>
  <c r="G58" i="1" s="1"/>
  <c r="G59" i="1" s="1"/>
  <c r="G61" i="1" s="1"/>
  <c r="G65" i="1" s="1"/>
  <c r="G66" i="1" s="1"/>
  <c r="G72" i="1" s="1"/>
  <c r="G76" i="1" s="1"/>
  <c r="G77" i="1" s="1"/>
  <c r="A15" i="1"/>
  <c r="A26" i="1" s="1"/>
  <c r="A28" i="1" s="1"/>
  <c r="A29" i="1" s="1"/>
  <c r="G45" i="9"/>
  <c r="G44" i="9"/>
  <c r="G40" i="9"/>
  <c r="G38" i="9"/>
  <c r="G37" i="9"/>
  <c r="G33" i="9"/>
  <c r="G31" i="9"/>
  <c r="G30" i="9"/>
  <c r="G26" i="9"/>
  <c r="G15" i="9"/>
  <c r="A15" i="9"/>
  <c r="A26" i="9"/>
  <c r="A28" i="9" s="1"/>
  <c r="A29" i="9" s="1"/>
  <c r="G48" i="2" l="1"/>
  <c r="G62" i="2" s="1"/>
  <c r="G63" i="2" s="1"/>
  <c r="G54" i="2" s="1"/>
  <c r="G55" i="2" s="1"/>
  <c r="A30" i="1"/>
  <c r="A33" i="1" s="1"/>
  <c r="A35" i="1" s="1"/>
  <c r="A36" i="1" s="1"/>
  <c r="A40" i="7"/>
  <c r="A42" i="7" s="1"/>
  <c r="A43" i="7" s="1"/>
  <c r="A45" i="7" s="1"/>
  <c r="A34" i="5"/>
  <c r="A36" i="5" s="1"/>
  <c r="A37" i="5" s="1"/>
  <c r="A29" i="2"/>
  <c r="A35" i="2" s="1"/>
  <c r="A37" i="2" s="1"/>
  <c r="A38" i="2" s="1"/>
  <c r="A33" i="9"/>
  <c r="A35" i="9" s="1"/>
  <c r="A36" i="9" s="1"/>
  <c r="A40" i="9" s="1"/>
  <c r="A42" i="9" s="1"/>
  <c r="A43" i="9" s="1"/>
  <c r="A45" i="9" s="1"/>
  <c r="A46" i="9" s="1"/>
  <c r="A47" i="9" s="1"/>
  <c r="A48" i="9" s="1"/>
  <c r="A49" i="9" s="1"/>
  <c r="A50" i="9" s="1"/>
  <c r="A51" i="9" s="1"/>
  <c r="A38" i="5" l="1"/>
  <c r="A41" i="5" s="1"/>
  <c r="A43" i="5" s="1"/>
  <c r="A44" i="5" s="1"/>
  <c r="A37" i="1"/>
  <c r="A40" i="1" s="1"/>
  <c r="A42" i="1" s="1"/>
  <c r="A43" i="1" s="1"/>
  <c r="A39" i="2"/>
  <c r="A43" i="2" s="1"/>
  <c r="A45" i="2" s="1"/>
  <c r="A46" i="2" s="1"/>
  <c r="A45" i="5" l="1"/>
  <c r="A46" i="5" s="1"/>
  <c r="A47" i="5" s="1"/>
  <c r="A48" i="5" s="1"/>
  <c r="A49" i="5" s="1"/>
  <c r="A50" i="5" s="1"/>
  <c r="A51" i="5" s="1"/>
  <c r="A52" i="5" s="1"/>
  <c r="A54" i="5" s="1"/>
  <c r="A56" i="5" s="1"/>
  <c r="A44" i="1"/>
  <c r="A45" i="1" s="1"/>
  <c r="A46" i="1" s="1"/>
  <c r="A47" i="1" s="1"/>
  <c r="A48" i="1" s="1"/>
  <c r="A49" i="1" s="1"/>
  <c r="A47" i="2"/>
  <c r="A60" i="2" s="1"/>
  <c r="A61" i="2" s="1"/>
  <c r="A62" i="2" s="1"/>
  <c r="A63" i="2" s="1"/>
  <c r="A50" i="1" l="1"/>
  <c r="A51" i="1" s="1"/>
  <c r="A52" i="1" s="1"/>
  <c r="A54" i="1" s="1"/>
  <c r="A56" i="1" s="1"/>
  <c r="A57" i="1" s="1"/>
  <c r="A61" i="1" s="1"/>
  <c r="A63" i="1" s="1"/>
  <c r="A64" i="1" s="1"/>
  <c r="A65" i="1" s="1"/>
  <c r="A66" i="1" s="1"/>
  <c r="A67" i="1" s="1"/>
  <c r="A68" i="1" s="1"/>
  <c r="A69" i="1" s="1"/>
  <c r="A70" i="1" s="1"/>
  <c r="A72" i="1" s="1"/>
  <c r="A52" i="2"/>
  <c r="A74" i="1" l="1"/>
  <c r="A75" i="1" s="1"/>
  <c r="A76" i="1" s="1"/>
  <c r="A77" i="1" s="1"/>
  <c r="A78" i="1" s="1"/>
  <c r="A79" i="1" s="1"/>
  <c r="A80" i="1" s="1"/>
  <c r="A81" i="1" s="1"/>
  <c r="A82" i="1" s="1"/>
  <c r="A53" i="2"/>
  <c r="A54" i="2" s="1"/>
  <c r="A55" i="2" s="1"/>
  <c r="A56" i="2" s="1"/>
</calcChain>
</file>

<file path=xl/sharedStrings.xml><?xml version="1.0" encoding="utf-8"?>
<sst xmlns="http://schemas.openxmlformats.org/spreadsheetml/2006/main" count="1120" uniqueCount="273">
  <si>
    <t>PLC IP地址</t>
  </si>
  <si>
    <t>DB块</t>
  </si>
  <si>
    <t>PLC_TO_MES</t>
  </si>
  <si>
    <t>MES_TO_PLC</t>
  </si>
  <si>
    <t>偏移量</t>
  </si>
  <si>
    <t>名称</t>
  </si>
  <si>
    <t>数据类型</t>
  </si>
  <si>
    <t>说明</t>
  </si>
  <si>
    <t>MES心跳响应</t>
  </si>
  <si>
    <t>Bool</t>
  </si>
  <si>
    <t>MES心跳请求</t>
  </si>
  <si>
    <t>PLC心跳请求</t>
  </si>
  <si>
    <t>PLC心跳响应</t>
  </si>
  <si>
    <t>急停确认</t>
  </si>
  <si>
    <t>急停请求</t>
  </si>
  <si>
    <t>急停完成</t>
  </si>
  <si>
    <t>急停完成确认</t>
  </si>
  <si>
    <t>恢复确认</t>
  </si>
  <si>
    <t>恢复请求</t>
  </si>
  <si>
    <t>恢复完成</t>
  </si>
  <si>
    <t>恢复完成确认</t>
  </si>
  <si>
    <t>预留</t>
  </si>
  <si>
    <t>···</t>
  </si>
  <si>
    <t>请求初始化数据</t>
  </si>
  <si>
    <t>初始化数据完成</t>
  </si>
  <si>
    <t>自动模式</t>
  </si>
  <si>
    <t>手动模式</t>
  </si>
  <si>
    <t>急停模式</t>
  </si>
  <si>
    <t>未归零</t>
  </si>
  <si>
    <t>归零中</t>
  </si>
  <si>
    <t>归零完成</t>
  </si>
  <si>
    <t>空闲</t>
  </si>
  <si>
    <t>繁忙</t>
  </si>
  <si>
    <t>…</t>
  </si>
  <si>
    <t>预留10byte</t>
  </si>
  <si>
    <t>请求小车进入</t>
  </si>
  <si>
    <t>同时给出AGV小车号，Pack条码</t>
  </si>
  <si>
    <t>小车请求进入确认</t>
  </si>
  <si>
    <t>小车请求进入OK</t>
  </si>
  <si>
    <t>AGV车号</t>
  </si>
  <si>
    <t>Int</t>
  </si>
  <si>
    <t>小车请求进入NG</t>
  </si>
  <si>
    <t>Pack条码</t>
  </si>
  <si>
    <t>String[40]</t>
  </si>
  <si>
    <t>NG报警码</t>
  </si>
  <si>
    <t>请求开始涂胶</t>
  </si>
  <si>
    <t>涂胶开始请求确认</t>
  </si>
  <si>
    <t>涂胶开始请求OK</t>
  </si>
  <si>
    <t>涂胶开始请求NG</t>
  </si>
  <si>
    <t>请求涂胶完成</t>
  </si>
  <si>
    <t>同时给出AGV小车号、Pack条码、涂胶时间与涂胶数据</t>
  </si>
  <si>
    <t>涂胶完成确认</t>
  </si>
  <si>
    <t>涂胶数据格式</t>
  </si>
  <si>
    <t>涂胶完成OK</t>
  </si>
  <si>
    <t>涂胶完成NG</t>
  </si>
  <si>
    <t>A胶流量</t>
  </si>
  <si>
    <t>B胶流量</t>
  </si>
  <si>
    <t>涂胶开始年</t>
  </si>
  <si>
    <t>AB胶比例</t>
  </si>
  <si>
    <t>涂胶开始月</t>
  </si>
  <si>
    <t>AB胶总流量</t>
  </si>
  <si>
    <t>涂胶开始日</t>
  </si>
  <si>
    <t>涂胶开始时</t>
  </si>
  <si>
    <t>涂胶开始分</t>
  </si>
  <si>
    <t>涂胶开始秒</t>
  </si>
  <si>
    <t>涂胶数据</t>
  </si>
  <si>
    <t>Array[1..30]</t>
  </si>
  <si>
    <t>见右侧“涂胶数据格式”</t>
  </si>
  <si>
    <t>请求拍电芯码完成</t>
  </si>
  <si>
    <t>给出电芯码、组件agv带过来的模组码</t>
  </si>
  <si>
    <t>拍电芯码完成确认</t>
  </si>
  <si>
    <t>拍电芯码完成OK</t>
  </si>
  <si>
    <t>电芯码</t>
  </si>
  <si>
    <t>扫码获取</t>
  </si>
  <si>
    <t>拍电芯码完成NG</t>
  </si>
  <si>
    <t>模组类型</t>
  </si>
  <si>
    <t>模组码</t>
  </si>
  <si>
    <t>agv请求进入</t>
  </si>
  <si>
    <t>给出pack条码与车号，MES校验前工序是否完成与小车绑定关系</t>
  </si>
  <si>
    <t>请求进入确认</t>
  </si>
  <si>
    <t>请求进入OK</t>
  </si>
  <si>
    <t>请求进入NG</t>
  </si>
  <si>
    <t>给出车号与Pack条码，mes再次校验小车绑定关系（防止在agv进入过程中被人修改）并向C请求进站，</t>
  </si>
  <si>
    <t>给出pack条码，小车号与入箱数据</t>
  </si>
  <si>
    <t>模组入箱数据组</t>
  </si>
  <si>
    <t>模组入箱数据</t>
  </si>
  <si>
    <t>偏移</t>
  </si>
  <si>
    <t>类型</t>
  </si>
  <si>
    <t>模组条码</t>
  </si>
  <si>
    <t>保压时长</t>
  </si>
  <si>
    <t>模组长度</t>
  </si>
  <si>
    <t>拧紧数据</t>
  </si>
  <si>
    <t>Tightening OK</t>
  </si>
  <si>
    <t>OK</t>
  </si>
  <si>
    <t>Tightening NOK</t>
  </si>
  <si>
    <t>NOK</t>
  </si>
  <si>
    <t>res1</t>
  </si>
  <si>
    <t>备用</t>
  </si>
  <si>
    <t>Ready</t>
  </si>
  <si>
    <t>准备就绪</t>
  </si>
  <si>
    <t>Tightening running</t>
  </si>
  <si>
    <t>拧紧中</t>
  </si>
  <si>
    <t>res2</t>
  </si>
  <si>
    <t>res3</t>
  </si>
  <si>
    <t>res4</t>
  </si>
  <si>
    <t>res5</t>
  </si>
  <si>
    <t>res6</t>
  </si>
  <si>
    <t>res7</t>
  </si>
  <si>
    <t>res8</t>
  </si>
  <si>
    <t>res9</t>
  </si>
  <si>
    <t>res10</t>
  </si>
  <si>
    <t>res11</t>
  </si>
  <si>
    <t>res12</t>
  </si>
  <si>
    <t>Pset_selected</t>
  </si>
  <si>
    <t>作业号反馈</t>
  </si>
  <si>
    <t xml:space="preserve"> </t>
  </si>
  <si>
    <t>Final_torque</t>
  </si>
  <si>
    <t>Real</t>
  </si>
  <si>
    <t>扭矩结果反馈</t>
  </si>
  <si>
    <t>Constant1</t>
  </si>
  <si>
    <t>常数1反馈</t>
  </si>
  <si>
    <t>Torque_trend</t>
  </si>
  <si>
    <t>预留10个字节</t>
  </si>
  <si>
    <t>Final_angle</t>
  </si>
  <si>
    <t>角度结果反馈</t>
  </si>
  <si>
    <t>同时给出AGV小车号，Pack条码号MES校验工序与绑定关系</t>
  </si>
  <si>
    <t>Constant2</t>
  </si>
  <si>
    <t>常数2反馈</t>
  </si>
  <si>
    <t>Angle_trend</t>
  </si>
  <si>
    <t>TorqueRate_Min</t>
  </si>
  <si>
    <t>最小扭矩</t>
  </si>
  <si>
    <t>TargetTorqueRate</t>
  </si>
  <si>
    <t>目标扭矩</t>
  </si>
  <si>
    <t>TorqueRate_Max</t>
  </si>
  <si>
    <t>最大扭矩</t>
  </si>
  <si>
    <t>Angle_Min</t>
  </si>
  <si>
    <t>最小角度</t>
  </si>
  <si>
    <t>TargetAngle</t>
  </si>
  <si>
    <t>目标角度</t>
  </si>
  <si>
    <t>Angle_Max</t>
  </si>
  <si>
    <t>最大角度</t>
  </si>
  <si>
    <t>请求开始拧紧</t>
  </si>
  <si>
    <t>同时给出AGV小车号，Pack条码号，MES做校验</t>
  </si>
  <si>
    <t>拧紧开始请求确认</t>
  </si>
  <si>
    <t>拧紧开始请求OK</t>
  </si>
  <si>
    <t>拧紧开始请求NG</t>
  </si>
  <si>
    <t>请求拧紧完成</t>
  </si>
  <si>
    <t>拧紧完成</t>
  </si>
  <si>
    <t>拧紧完成请求确认</t>
  </si>
  <si>
    <t>拧紧完成请求OK</t>
  </si>
  <si>
    <t>拧紧完成请求NG</t>
  </si>
  <si>
    <t>拧紧数据数组</t>
  </si>
  <si>
    <t>Array[1..150]</t>
  </si>
  <si>
    <t>拧紧数据（预留150组），格式如右侧拧紧数据</t>
  </si>
  <si>
    <t>开始请求确认</t>
  </si>
  <si>
    <t>开始请求OK</t>
  </si>
  <si>
    <t>开始请求NG</t>
  </si>
  <si>
    <t>请求完成确认</t>
  </si>
  <si>
    <t>请求完成OK</t>
  </si>
  <si>
    <t>请求完成NG</t>
  </si>
  <si>
    <t>加压开始年</t>
  </si>
  <si>
    <t>加压开始月</t>
  </si>
  <si>
    <t>加压开始日</t>
  </si>
  <si>
    <t>加压开始时</t>
  </si>
  <si>
    <t>加压开始分</t>
  </si>
  <si>
    <t>加压开始秒</t>
  </si>
  <si>
    <t>请求加压开始</t>
  </si>
  <si>
    <t>请求加压完成</t>
  </si>
  <si>
    <t>AGV请求进入</t>
  </si>
  <si>
    <t>pack条码</t>
  </si>
  <si>
    <t>预留</t>
    <phoneticPr fontId="1" type="noConversion"/>
  </si>
  <si>
    <t>保压时间</t>
    <phoneticPr fontId="1" type="noConversion"/>
  </si>
  <si>
    <t>压条加压数据集</t>
    <phoneticPr fontId="1" type="noConversion"/>
  </si>
  <si>
    <t>加压数据</t>
    <phoneticPr fontId="1" type="noConversion"/>
  </si>
  <si>
    <t>Array[1..20]</t>
    <phoneticPr fontId="1" type="noConversion"/>
  </si>
  <si>
    <t>预留20组数据，数据结构见右侧“压条加压数据集”</t>
    <phoneticPr fontId="1" type="noConversion"/>
  </si>
  <si>
    <t>压条加压压力平均值</t>
    <phoneticPr fontId="1" type="noConversion"/>
  </si>
  <si>
    <t>压条加压压力最大值</t>
    <phoneticPr fontId="1" type="noConversion"/>
  </si>
  <si>
    <t>请求涂胶首件</t>
    <phoneticPr fontId="1" type="noConversion"/>
  </si>
  <si>
    <t>给出首件数据</t>
    <phoneticPr fontId="1" type="noConversion"/>
  </si>
  <si>
    <t>…</t>
    <phoneticPr fontId="1" type="noConversion"/>
  </si>
  <si>
    <t>byte[1..80]</t>
    <phoneticPr fontId="1" type="noConversion"/>
  </si>
  <si>
    <t>预留首件数据</t>
    <phoneticPr fontId="1" type="noConversion"/>
  </si>
  <si>
    <t>预留</t>
    <phoneticPr fontId="1" type="noConversion"/>
  </si>
  <si>
    <t>涂胶首件确认</t>
    <phoneticPr fontId="1" type="noConversion"/>
  </si>
  <si>
    <t>涂胶首件OK</t>
    <phoneticPr fontId="1" type="noConversion"/>
  </si>
  <si>
    <t>涂胶首件NG</t>
    <phoneticPr fontId="1" type="noConversion"/>
  </si>
  <si>
    <t>NG报警码</t>
    <phoneticPr fontId="1" type="noConversion"/>
  </si>
  <si>
    <t>涂胶剩余时长</t>
    <phoneticPr fontId="1" type="noConversion"/>
  </si>
  <si>
    <t>时长单位ms</t>
    <phoneticPr fontId="1" type="noConversion"/>
  </si>
  <si>
    <t>初始版本</t>
    <phoneticPr fontId="1" type="noConversion"/>
  </si>
  <si>
    <t>DB块</t>
    <phoneticPr fontId="1" type="noConversion"/>
  </si>
  <si>
    <t>电批序号</t>
    <phoneticPr fontId="1" type="noConversion"/>
  </si>
  <si>
    <t>DriverIndex</t>
    <phoneticPr fontId="1" type="noConversion"/>
  </si>
  <si>
    <t>所属电批的拧紧序号，各电批从1开始</t>
    <phoneticPr fontId="1" type="noConversion"/>
  </si>
  <si>
    <t>Position</t>
    <phoneticPr fontId="1" type="noConversion"/>
  </si>
  <si>
    <t>DInt</t>
  </si>
  <si>
    <t>Real[0..4]</t>
  </si>
  <si>
    <t>预留五个Real</t>
  </si>
  <si>
    <t>Byte[1..80]</t>
    <phoneticPr fontId="1" type="noConversion"/>
  </si>
  <si>
    <t>Array[1..20]</t>
  </si>
  <si>
    <t>模组入箱数据（预留10组），格式如右侧模组入箱数据</t>
    <phoneticPr fontId="1" type="noConversion"/>
  </si>
  <si>
    <t>Array[1..10]</t>
    <phoneticPr fontId="1" type="noConversion"/>
  </si>
  <si>
    <t>预留10个Real</t>
    <phoneticPr fontId="1" type="noConversion"/>
  </si>
  <si>
    <t>Real[1..10]</t>
    <phoneticPr fontId="1" type="noConversion"/>
  </si>
  <si>
    <t>胶水总重量</t>
    <phoneticPr fontId="1" type="noConversion"/>
  </si>
  <si>
    <t>real</t>
    <phoneticPr fontId="1" type="noConversion"/>
  </si>
  <si>
    <t>下压压力</t>
    <phoneticPr fontId="1" type="noConversion"/>
  </si>
  <si>
    <t>下压距离</t>
    <phoneticPr fontId="1" type="noConversion"/>
  </si>
  <si>
    <t>模组左侧压力</t>
    <phoneticPr fontId="1" type="noConversion"/>
  </si>
  <si>
    <t>模组右侧压力</t>
    <phoneticPr fontId="1" type="noConversion"/>
  </si>
  <si>
    <t>入完成时间</t>
    <phoneticPr fontId="1" type="noConversion"/>
  </si>
  <si>
    <t>String[40]</t>
    <phoneticPr fontId="1" type="noConversion"/>
  </si>
  <si>
    <t>byte[]</t>
    <phoneticPr fontId="1" type="noConversion"/>
  </si>
  <si>
    <t>加压完成年</t>
    <phoneticPr fontId="1" type="noConversion"/>
  </si>
  <si>
    <t>加压完成月</t>
    <phoneticPr fontId="1" type="noConversion"/>
  </si>
  <si>
    <t>加压完成日</t>
    <phoneticPr fontId="1" type="noConversion"/>
  </si>
  <si>
    <t>加压完成时</t>
    <phoneticPr fontId="1" type="noConversion"/>
  </si>
  <si>
    <t>加压完成分</t>
    <phoneticPr fontId="1" type="noConversion"/>
  </si>
  <si>
    <t>全部入箱完成请求</t>
    <phoneticPr fontId="1" type="noConversion"/>
  </si>
  <si>
    <t>全部入箱完成确认</t>
    <phoneticPr fontId="1" type="noConversion"/>
  </si>
  <si>
    <t>全部入箱完成OK</t>
    <phoneticPr fontId="1" type="noConversion"/>
  </si>
  <si>
    <t>全部入箱完成NG</t>
    <phoneticPr fontId="1" type="noConversion"/>
  </si>
  <si>
    <t>请求开始工作</t>
    <phoneticPr fontId="1" type="noConversion"/>
  </si>
  <si>
    <t>开始工作确认</t>
    <phoneticPr fontId="1" type="noConversion"/>
  </si>
  <si>
    <t>开始工作NG</t>
    <phoneticPr fontId="1" type="noConversion"/>
  </si>
  <si>
    <t>开始工作OK</t>
    <phoneticPr fontId="1" type="noConversion"/>
  </si>
  <si>
    <t>单个模组入完成请求</t>
    <phoneticPr fontId="1" type="noConversion"/>
  </si>
  <si>
    <t>bool</t>
    <phoneticPr fontId="1" type="noConversion"/>
  </si>
  <si>
    <t>…</t>
    <phoneticPr fontId="1" type="noConversion"/>
  </si>
  <si>
    <t>Pack条码</t>
    <phoneticPr fontId="1" type="noConversion"/>
  </si>
  <si>
    <t>模组条码</t>
    <phoneticPr fontId="1" type="noConversion"/>
  </si>
  <si>
    <t>入箱位置</t>
    <phoneticPr fontId="1" type="noConversion"/>
  </si>
  <si>
    <t>单个模组入完成确认</t>
    <phoneticPr fontId="1" type="noConversion"/>
  </si>
  <si>
    <t>单个模组入完成OK</t>
    <phoneticPr fontId="1" type="noConversion"/>
  </si>
  <si>
    <t>单个模组入完成NG</t>
    <phoneticPr fontId="1" type="noConversion"/>
  </si>
  <si>
    <t>…</t>
    <phoneticPr fontId="1" type="noConversion"/>
  </si>
  <si>
    <t>NG报警码</t>
    <phoneticPr fontId="1" type="noConversion"/>
  </si>
  <si>
    <t>预留</t>
    <phoneticPr fontId="1" type="noConversion"/>
  </si>
  <si>
    <t>int</t>
    <phoneticPr fontId="1" type="noConversion"/>
  </si>
  <si>
    <t>bool</t>
    <phoneticPr fontId="1" type="noConversion"/>
  </si>
  <si>
    <t>预留</t>
    <phoneticPr fontId="1" type="noConversion"/>
  </si>
  <si>
    <t>小车号</t>
    <phoneticPr fontId="1" type="noConversion"/>
  </si>
  <si>
    <t>int</t>
    <phoneticPr fontId="1" type="noConversion"/>
  </si>
  <si>
    <t>String[40]</t>
    <phoneticPr fontId="1" type="noConversion"/>
  </si>
  <si>
    <t>string[40]</t>
    <phoneticPr fontId="1" type="noConversion"/>
  </si>
  <si>
    <t>string[40]</t>
    <phoneticPr fontId="1" type="noConversion"/>
  </si>
  <si>
    <t>首件数据</t>
    <phoneticPr fontId="1" type="noConversion"/>
  </si>
  <si>
    <t>预留</t>
    <phoneticPr fontId="1" type="noConversion"/>
  </si>
  <si>
    <t>请求补胶完成</t>
    <phoneticPr fontId="1" type="noConversion"/>
  </si>
  <si>
    <t>bool</t>
    <phoneticPr fontId="1" type="noConversion"/>
  </si>
  <si>
    <t>…</t>
    <phoneticPr fontId="1" type="noConversion"/>
  </si>
  <si>
    <t>补胶完成确认</t>
    <phoneticPr fontId="1" type="noConversion"/>
  </si>
  <si>
    <t>补胶完成OK</t>
    <phoneticPr fontId="1" type="noConversion"/>
  </si>
  <si>
    <t>补胶完成NG</t>
    <phoneticPr fontId="1" type="noConversion"/>
  </si>
  <si>
    <t>bool</t>
    <phoneticPr fontId="1" type="noConversion"/>
  </si>
  <si>
    <t>NG报警码</t>
    <phoneticPr fontId="1" type="noConversion"/>
  </si>
  <si>
    <t>int</t>
    <phoneticPr fontId="1" type="noConversion"/>
  </si>
  <si>
    <t>同时给出AGV小车号、Pack条码、涂胶时间与涂胶数据</t>
    <phoneticPr fontId="1" type="noConversion"/>
  </si>
  <si>
    <t>同时给出AGV小车号、Pack条码、涂胶时间</t>
    <phoneticPr fontId="1" type="noConversion"/>
  </si>
  <si>
    <t>请求称重完成</t>
    <phoneticPr fontId="1" type="noConversion"/>
  </si>
  <si>
    <t>涂胶称重年</t>
    <phoneticPr fontId="1" type="noConversion"/>
  </si>
  <si>
    <t>涂胶称重月</t>
    <phoneticPr fontId="1" type="noConversion"/>
  </si>
  <si>
    <t>涂胶称重日</t>
    <phoneticPr fontId="1" type="noConversion"/>
  </si>
  <si>
    <t>涂胶称重时</t>
    <phoneticPr fontId="1" type="noConversion"/>
  </si>
  <si>
    <t>涂胶称重分</t>
    <phoneticPr fontId="1" type="noConversion"/>
  </si>
  <si>
    <t>涂胶称重秒</t>
    <phoneticPr fontId="1" type="noConversion"/>
  </si>
  <si>
    <t>称重数据</t>
    <phoneticPr fontId="1" type="noConversion"/>
  </si>
  <si>
    <t>见右侧“涂胶数据格式”</t>
    <phoneticPr fontId="1" type="noConversion"/>
  </si>
  <si>
    <t>Array[1..30] Real</t>
    <phoneticPr fontId="1" type="noConversion"/>
  </si>
  <si>
    <t>称重完成确认</t>
    <phoneticPr fontId="1" type="noConversion"/>
  </si>
  <si>
    <t>称重完成OK</t>
    <phoneticPr fontId="1" type="noConversion"/>
  </si>
  <si>
    <t>称重完成NG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</si>
</sst>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</cellStyleXfs>
  <cellXfs count="68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2" fillId="2" borderId="1" xfId="1" applyFill="1" applyBorder="1"/>
    <xf numFmtId="0" fontId="2" fillId="3" borderId="1" xfId="1" applyFill="1" applyBorder="1"/>
    <xf numFmtId="0" fontId="2" fillId="0" borderId="1" xfId="1" applyBorder="1" applyAlignment="1">
      <alignment horizontal="center"/>
    </xf>
    <xf numFmtId="0" fontId="2" fillId="0" borderId="1" xfId="1" applyBorder="1"/>
    <xf numFmtId="0" fontId="2" fillId="0" borderId="0" xfId="1" applyAlignment="1">
      <alignment horizontal="right"/>
    </xf>
    <xf numFmtId="0" fontId="2" fillId="2" borderId="1" xfId="1" applyFill="1" applyBorder="1" applyAlignment="1">
      <alignment horizontal="right"/>
    </xf>
    <xf numFmtId="0" fontId="2" fillId="3" borderId="1" xfId="1" applyFill="1" applyBorder="1" applyAlignment="1">
      <alignment horizontal="right"/>
    </xf>
    <xf numFmtId="0" fontId="2" fillId="7" borderId="1" xfId="1" applyFill="1" applyBorder="1"/>
    <xf numFmtId="0" fontId="2" fillId="7" borderId="1" xfId="1" applyFill="1" applyBorder="1" applyAlignment="1">
      <alignment horizontal="right"/>
    </xf>
    <xf numFmtId="0" fontId="2" fillId="8" borderId="1" xfId="1" applyFill="1" applyBorder="1"/>
    <xf numFmtId="0" fontId="2" fillId="8" borderId="1" xfId="1" applyFill="1" applyBorder="1" applyAlignment="1">
      <alignment horizontal="right"/>
    </xf>
    <xf numFmtId="0" fontId="2" fillId="9" borderId="1" xfId="1" applyFill="1" applyBorder="1"/>
    <xf numFmtId="0" fontId="2" fillId="9" borderId="1" xfId="1" applyFill="1" applyBorder="1" applyAlignment="1">
      <alignment horizontal="right"/>
    </xf>
    <xf numFmtId="0" fontId="2" fillId="0" borderId="1" xfId="1" applyBorder="1" applyAlignment="1">
      <alignment horizontal="right"/>
    </xf>
    <xf numFmtId="0" fontId="2" fillId="0" borderId="0" xfId="1" applyAlignment="1">
      <alignment horizontal="right" vertical="center"/>
    </xf>
    <xf numFmtId="0" fontId="2" fillId="2" borderId="1" xfId="1" applyFill="1" applyBorder="1" applyAlignment="1">
      <alignment horizontal="right" vertical="center"/>
    </xf>
    <xf numFmtId="0" fontId="2" fillId="3" borderId="1" xfId="1" applyFill="1" applyBorder="1" applyAlignment="1">
      <alignment horizontal="right" vertical="center"/>
    </xf>
    <xf numFmtId="0" fontId="2" fillId="4" borderId="1" xfId="1" applyFill="1" applyBorder="1"/>
    <xf numFmtId="0" fontId="2" fillId="4" borderId="1" xfId="1" applyFill="1" applyBorder="1" applyAlignment="1">
      <alignment horizontal="right" vertical="center"/>
    </xf>
    <xf numFmtId="0" fontId="2" fillId="5" borderId="1" xfId="1" applyFill="1" applyBorder="1"/>
    <xf numFmtId="0" fontId="2" fillId="5" borderId="1" xfId="1" applyFill="1" applyBorder="1" applyAlignment="1">
      <alignment horizontal="right" vertical="center"/>
    </xf>
    <xf numFmtId="0" fontId="2" fillId="8" borderId="1" xfId="1" applyFill="1" applyBorder="1" applyAlignment="1">
      <alignment horizontal="right" vertical="center"/>
    </xf>
    <xf numFmtId="0" fontId="2" fillId="8" borderId="4" xfId="1" applyFill="1" applyBorder="1"/>
    <xf numFmtId="0" fontId="2" fillId="10" borderId="1" xfId="1" applyFill="1" applyBorder="1" applyAlignment="1">
      <alignment horizontal="right" vertical="center"/>
    </xf>
    <xf numFmtId="0" fontId="2" fillId="10" borderId="1" xfId="1" applyFill="1" applyBorder="1"/>
    <xf numFmtId="0" fontId="2" fillId="6" borderId="1" xfId="1" applyFill="1" applyBorder="1"/>
    <xf numFmtId="0" fontId="2" fillId="6" borderId="1" xfId="1" applyFill="1" applyBorder="1" applyAlignment="1">
      <alignment horizontal="right" vertical="center"/>
    </xf>
    <xf numFmtId="0" fontId="2" fillId="7" borderId="6" xfId="1" applyFill="1" applyBorder="1"/>
    <xf numFmtId="0" fontId="2" fillId="11" borderId="1" xfId="1" applyFill="1" applyBorder="1"/>
    <xf numFmtId="0" fontId="0" fillId="11" borderId="1" xfId="0" applyFill="1" applyBorder="1"/>
    <xf numFmtId="0" fontId="2" fillId="0" borderId="0" xfId="1" applyAlignment="1">
      <alignment horizontal="center"/>
    </xf>
    <xf numFmtId="0" fontId="2" fillId="0" borderId="1" xfId="1" applyBorder="1" applyAlignment="1">
      <alignment horizontal="center"/>
    </xf>
    <xf numFmtId="5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2" fillId="8" borderId="1" xfId="1" applyFill="1" applyBorder="1" applyAlignment="1">
      <alignment vertical="center"/>
    </xf>
    <xf numFmtId="0" fontId="2" fillId="8" borderId="1" xfId="1" applyFill="1" applyBorder="1" applyAlignment="1">
      <alignment vertical="center" wrapText="1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1" xfId="1" applyBorder="1" applyAlignment="1">
      <alignment horizontal="right" vertical="center"/>
    </xf>
    <xf numFmtId="0" fontId="0" fillId="12" borderId="1" xfId="0" applyFill="1" applyBorder="1"/>
    <xf numFmtId="0" fontId="2" fillId="12" borderId="1" xfId="1" applyFill="1" applyBorder="1"/>
    <xf numFmtId="0" fontId="0" fillId="12" borderId="1" xfId="0" applyFill="1" applyBorder="1" applyAlignment="1">
      <alignment horizontal="right" vertical="center"/>
    </xf>
    <xf numFmtId="0" fontId="2" fillId="0" borderId="0" xfId="1" applyAlignment="1">
      <alignment horizontal="center"/>
    </xf>
    <xf numFmtId="0" fontId="2" fillId="0" borderId="4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1" xfId="1" applyBorder="1" applyAlignment="1">
      <alignment horizontal="center"/>
    </xf>
    <xf numFmtId="0" fontId="2" fillId="9" borderId="4" xfId="1" applyFill="1" applyBorder="1" applyAlignment="1">
      <alignment horizontal="center"/>
    </xf>
    <xf numFmtId="0" fontId="2" fillId="9" borderId="3" xfId="1" applyFill="1" applyBorder="1" applyAlignment="1">
      <alignment horizontal="center"/>
    </xf>
    <xf numFmtId="0" fontId="2" fillId="9" borderId="5" xfId="1" applyFill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9" fillId="0" borderId="0" xfId="1" applyFont="1" applyFill="1"/>
    <xf numFmtId="0" fontId="9" fillId="0" borderId="0" xfId="2" applyFont="1" applyFill="1" applyAlignment="1"/>
    <xf numFmtId="0" fontId="9" fillId="0" borderId="0" xfId="3" applyFont="1" applyFill="1" applyAlignment="1"/>
    <xf numFmtId="0" fontId="8" fillId="15" borderId="1" xfId="2" applyFont="1" applyFill="1" applyBorder="1" applyAlignment="1"/>
    <xf numFmtId="0" fontId="8" fillId="16" borderId="1" xfId="3" applyFont="1" applyFill="1" applyBorder="1" applyAlignment="1"/>
  </cellXfs>
  <cellStyles count="4">
    <cellStyle name="差" xfId="3" builtinId="27"/>
    <cellStyle name="常规" xfId="0" builtinId="0"/>
    <cellStyle name="常规 2" xfId="1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workbookViewId="0">
      <selection activeCell="C31" sqref="C31"/>
    </sheetView>
  </sheetViews>
  <sheetFormatPr defaultRowHeight="14.25"/>
  <cols>
    <col min="1" max="1" width="10" bestFit="1" customWidth="1"/>
    <col min="2" max="2" width="8.25" style="37" bestFit="1" customWidth="1"/>
    <col min="3" max="3" width="55.5" style="39" customWidth="1"/>
  </cols>
  <sheetData>
    <row r="2" spans="2:3">
      <c r="B2" s="35">
        <v>45672</v>
      </c>
      <c r="C2" s="38" t="s">
        <v>190</v>
      </c>
    </row>
    <row r="3" spans="2:3">
      <c r="B3" s="3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opLeftCell="A16" workbookViewId="0">
      <selection activeCell="E45" sqref="E45"/>
    </sheetView>
  </sheetViews>
  <sheetFormatPr defaultRowHeight="14.25"/>
  <cols>
    <col min="1" max="1" width="9.75" bestFit="1" customWidth="1"/>
    <col min="2" max="2" width="4.125" bestFit="1" customWidth="1"/>
    <col min="3" max="3" width="14.375" bestFit="1" customWidth="1"/>
    <col min="4" max="4" width="10.125" bestFit="1" customWidth="1"/>
    <col min="5" max="5" width="47.5" bestFit="1" customWidth="1"/>
    <col min="7" max="7" width="6.625" bestFit="1" customWidth="1"/>
    <col min="8" max="8" width="4.5" bestFit="1" customWidth="1"/>
    <col min="9" max="9" width="16.25" bestFit="1" customWidth="1"/>
    <col min="10" max="10" width="8.5" bestFit="1" customWidth="1"/>
    <col min="11" max="11" width="30.625" customWidth="1"/>
    <col min="13" max="13" width="4.875" bestFit="1" customWidth="1"/>
    <col min="14" max="14" width="18.25" bestFit="1" customWidth="1"/>
    <col min="15" max="15" width="7.875" bestFit="1" customWidth="1"/>
    <col min="16" max="16" width="11.375" bestFit="1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>
      <c r="A2" s="1" t="s">
        <v>1</v>
      </c>
      <c r="B2" s="7">
        <v>200</v>
      </c>
      <c r="C2" s="1"/>
      <c r="D2" s="1"/>
      <c r="E2" s="1"/>
      <c r="F2" s="1"/>
      <c r="G2" s="1" t="s">
        <v>191</v>
      </c>
      <c r="H2" s="1">
        <v>201</v>
      </c>
      <c r="I2" s="1"/>
      <c r="J2" s="1"/>
      <c r="K2" s="1"/>
    </row>
    <row r="3" spans="1:16">
      <c r="A3" s="51" t="s">
        <v>2</v>
      </c>
      <c r="B3" s="51"/>
      <c r="C3" s="51"/>
      <c r="D3" s="51"/>
      <c r="E3" s="51"/>
      <c r="F3" s="1"/>
      <c r="G3" s="51" t="s">
        <v>3</v>
      </c>
      <c r="H3" s="51"/>
      <c r="I3" s="51"/>
      <c r="J3" s="51"/>
      <c r="K3" s="51"/>
    </row>
    <row r="4" spans="1:16">
      <c r="A4" s="33" t="s">
        <v>4</v>
      </c>
      <c r="B4" s="1"/>
      <c r="C4" s="33" t="s">
        <v>5</v>
      </c>
      <c r="D4" s="33" t="s">
        <v>6</v>
      </c>
      <c r="E4" s="33" t="s">
        <v>7</v>
      </c>
      <c r="F4" s="1"/>
      <c r="G4" s="33" t="s">
        <v>4</v>
      </c>
      <c r="H4" s="1"/>
      <c r="I4" s="33" t="s">
        <v>5</v>
      </c>
      <c r="J4" s="33" t="s">
        <v>6</v>
      </c>
      <c r="K4" s="33" t="s">
        <v>7</v>
      </c>
    </row>
    <row r="5" spans="1:16">
      <c r="A5" s="3">
        <v>100</v>
      </c>
      <c r="B5" s="8">
        <v>0</v>
      </c>
      <c r="C5" s="3" t="s">
        <v>8</v>
      </c>
      <c r="D5" s="3" t="s">
        <v>9</v>
      </c>
      <c r="E5" s="3"/>
      <c r="F5" s="1"/>
      <c r="G5" s="3">
        <v>100</v>
      </c>
      <c r="H5" s="8">
        <v>0</v>
      </c>
      <c r="I5" s="3" t="s">
        <v>10</v>
      </c>
      <c r="J5" s="3" t="s">
        <v>9</v>
      </c>
      <c r="K5" s="3"/>
      <c r="M5" s="52" t="s">
        <v>172</v>
      </c>
      <c r="N5" s="53"/>
      <c r="O5" s="53"/>
      <c r="P5" s="54"/>
    </row>
    <row r="6" spans="1:16">
      <c r="A6" s="3"/>
      <c r="B6" s="8">
        <v>1</v>
      </c>
      <c r="C6" s="3" t="s">
        <v>11</v>
      </c>
      <c r="D6" s="3" t="s">
        <v>9</v>
      </c>
      <c r="E6" s="3"/>
      <c r="F6" s="1"/>
      <c r="G6" s="3"/>
      <c r="H6" s="8">
        <v>1</v>
      </c>
      <c r="I6" s="3" t="s">
        <v>12</v>
      </c>
      <c r="J6" s="3" t="s">
        <v>9</v>
      </c>
      <c r="K6" s="3"/>
      <c r="M6" s="34" t="s">
        <v>86</v>
      </c>
      <c r="N6" s="6" t="s">
        <v>5</v>
      </c>
      <c r="O6" s="6" t="s">
        <v>87</v>
      </c>
      <c r="P6" s="6" t="s">
        <v>7</v>
      </c>
    </row>
    <row r="7" spans="1:16">
      <c r="A7" s="3"/>
      <c r="B7" s="8">
        <v>2</v>
      </c>
      <c r="C7" s="3" t="s">
        <v>13</v>
      </c>
      <c r="D7" s="3" t="s">
        <v>9</v>
      </c>
      <c r="E7" s="3"/>
      <c r="F7" s="1"/>
      <c r="G7" s="3"/>
      <c r="H7" s="8">
        <v>2</v>
      </c>
      <c r="I7" s="3" t="s">
        <v>14</v>
      </c>
      <c r="J7" s="3" t="s">
        <v>9</v>
      </c>
      <c r="K7" s="3"/>
      <c r="M7" s="10">
        <v>0</v>
      </c>
      <c r="N7" s="10" t="s">
        <v>171</v>
      </c>
      <c r="O7" s="10" t="s">
        <v>196</v>
      </c>
      <c r="P7" s="10"/>
    </row>
    <row r="8" spans="1:16">
      <c r="A8" s="3"/>
      <c r="B8" s="8">
        <v>3</v>
      </c>
      <c r="C8" s="3" t="s">
        <v>15</v>
      </c>
      <c r="D8" s="3" t="s">
        <v>9</v>
      </c>
      <c r="E8" s="3"/>
      <c r="F8" s="1"/>
      <c r="G8" s="3"/>
      <c r="H8" s="8">
        <v>3</v>
      </c>
      <c r="I8" s="3" t="s">
        <v>16</v>
      </c>
      <c r="J8" s="3" t="s">
        <v>9</v>
      </c>
      <c r="K8" s="3"/>
      <c r="M8" s="10">
        <v>4</v>
      </c>
      <c r="N8" s="10" t="s">
        <v>177</v>
      </c>
      <c r="O8" s="10" t="s">
        <v>117</v>
      </c>
      <c r="P8" s="10"/>
    </row>
    <row r="9" spans="1:16">
      <c r="A9" s="3"/>
      <c r="B9" s="8">
        <v>4</v>
      </c>
      <c r="C9" s="3" t="s">
        <v>17</v>
      </c>
      <c r="D9" s="3" t="s">
        <v>9</v>
      </c>
      <c r="E9" s="3"/>
      <c r="F9" s="1"/>
      <c r="G9" s="3"/>
      <c r="H9" s="8">
        <v>4</v>
      </c>
      <c r="I9" s="3" t="s">
        <v>18</v>
      </c>
      <c r="J9" s="3" t="s">
        <v>9</v>
      </c>
      <c r="K9" s="3"/>
      <c r="M9" s="10">
        <v>8</v>
      </c>
      <c r="N9" s="10" t="s">
        <v>176</v>
      </c>
      <c r="O9" s="10" t="s">
        <v>117</v>
      </c>
      <c r="P9" s="10"/>
    </row>
    <row r="10" spans="1:16">
      <c r="A10" s="3"/>
      <c r="B10" s="8">
        <v>5</v>
      </c>
      <c r="C10" s="3" t="s">
        <v>19</v>
      </c>
      <c r="D10" s="3" t="s">
        <v>9</v>
      </c>
      <c r="E10" s="3"/>
      <c r="F10" s="1"/>
      <c r="G10" s="3"/>
      <c r="H10" s="8">
        <v>5</v>
      </c>
      <c r="I10" s="3" t="s">
        <v>20</v>
      </c>
      <c r="J10" s="3" t="s">
        <v>9</v>
      </c>
      <c r="K10" s="3"/>
      <c r="M10" s="10">
        <v>12</v>
      </c>
      <c r="N10" s="10" t="s">
        <v>21</v>
      </c>
      <c r="O10" s="10" t="s">
        <v>197</v>
      </c>
      <c r="P10" s="10" t="s">
        <v>198</v>
      </c>
    </row>
    <row r="11" spans="1:16">
      <c r="A11" s="3"/>
      <c r="B11" s="8">
        <v>6</v>
      </c>
      <c r="C11" s="3" t="s">
        <v>21</v>
      </c>
      <c r="D11" s="3" t="s">
        <v>9</v>
      </c>
      <c r="E11" s="3"/>
      <c r="F11" s="1"/>
      <c r="G11" s="3"/>
      <c r="H11" s="8" t="s">
        <v>22</v>
      </c>
      <c r="I11" s="3" t="s">
        <v>21</v>
      </c>
      <c r="J11" s="3"/>
      <c r="K11" s="3"/>
      <c r="M11" s="10">
        <f>M10+20</f>
        <v>32</v>
      </c>
      <c r="N11" s="10"/>
      <c r="O11" s="10"/>
      <c r="P11" s="10"/>
    </row>
    <row r="12" spans="1:16">
      <c r="A12" s="3"/>
      <c r="B12" s="8">
        <v>7</v>
      </c>
      <c r="C12" s="3" t="s">
        <v>21</v>
      </c>
      <c r="D12" s="3" t="s">
        <v>9</v>
      </c>
      <c r="E12" s="3"/>
      <c r="F12" s="1"/>
      <c r="G12" s="3"/>
      <c r="H12" s="8">
        <v>8</v>
      </c>
      <c r="I12" s="3" t="s">
        <v>21</v>
      </c>
      <c r="J12" s="3" t="s">
        <v>9</v>
      </c>
      <c r="K12" s="3"/>
      <c r="M12" s="10"/>
      <c r="N12" s="10"/>
      <c r="O12" s="10"/>
      <c r="P12" s="10"/>
    </row>
    <row r="13" spans="1:16">
      <c r="A13" s="3"/>
      <c r="B13" s="8" t="s">
        <v>22</v>
      </c>
      <c r="C13" s="3"/>
      <c r="D13" s="3"/>
      <c r="E13" s="3"/>
      <c r="F13" s="1"/>
      <c r="G13" s="3"/>
      <c r="H13" s="8" t="s">
        <v>22</v>
      </c>
      <c r="I13" s="3" t="s">
        <v>21</v>
      </c>
      <c r="J13" s="3"/>
      <c r="K13" s="3"/>
      <c r="M13" s="10"/>
      <c r="N13" s="30"/>
      <c r="O13" s="10"/>
      <c r="P13" s="10"/>
    </row>
    <row r="14" spans="1:16">
      <c r="A14" s="3"/>
      <c r="B14" s="8">
        <v>15</v>
      </c>
      <c r="C14" s="3" t="s">
        <v>23</v>
      </c>
      <c r="D14" s="3" t="s">
        <v>9</v>
      </c>
      <c r="E14" s="3"/>
      <c r="F14" s="1"/>
      <c r="G14" s="3"/>
      <c r="H14" s="8">
        <v>15</v>
      </c>
      <c r="I14" s="3" t="s">
        <v>24</v>
      </c>
      <c r="J14" s="3"/>
      <c r="K14" s="3"/>
      <c r="M14" s="10"/>
      <c r="N14" s="10"/>
      <c r="O14" s="10"/>
      <c r="P14" s="10"/>
    </row>
    <row r="15" spans="1:16">
      <c r="A15" s="4">
        <f>A5+2</f>
        <v>102</v>
      </c>
      <c r="B15" s="9">
        <v>0</v>
      </c>
      <c r="C15" s="4" t="s">
        <v>25</v>
      </c>
      <c r="D15" s="4" t="s">
        <v>9</v>
      </c>
      <c r="E15" s="4"/>
      <c r="F15" s="1"/>
      <c r="G15" s="3">
        <f>G5+2</f>
        <v>102</v>
      </c>
      <c r="H15" s="3"/>
      <c r="I15" s="3"/>
      <c r="J15" s="3"/>
      <c r="K15" s="3"/>
    </row>
    <row r="16" spans="1:16">
      <c r="A16" s="4"/>
      <c r="B16" s="9">
        <v>1</v>
      </c>
      <c r="C16" s="4" t="s">
        <v>26</v>
      </c>
      <c r="D16" s="4" t="s">
        <v>9</v>
      </c>
      <c r="E16" s="4"/>
      <c r="F16" s="1"/>
      <c r="G16" s="3"/>
      <c r="H16" s="3"/>
      <c r="I16" s="3"/>
      <c r="J16" s="3"/>
      <c r="K16" s="3"/>
    </row>
    <row r="17" spans="1:11">
      <c r="A17" s="4"/>
      <c r="B17" s="9">
        <v>2</v>
      </c>
      <c r="C17" s="4" t="s">
        <v>27</v>
      </c>
      <c r="D17" s="4" t="s">
        <v>9</v>
      </c>
      <c r="E17" s="4"/>
      <c r="F17" s="1"/>
      <c r="G17" s="3"/>
      <c r="H17" s="3"/>
      <c r="I17" s="3"/>
      <c r="J17" s="3"/>
      <c r="K17" s="3"/>
    </row>
    <row r="18" spans="1:11">
      <c r="A18" s="4"/>
      <c r="B18" s="9">
        <v>3</v>
      </c>
      <c r="C18" s="4" t="s">
        <v>28</v>
      </c>
      <c r="D18" s="4" t="s">
        <v>9</v>
      </c>
      <c r="E18" s="4"/>
      <c r="F18" s="1"/>
      <c r="G18" s="3"/>
      <c r="H18" s="3"/>
      <c r="I18" s="3"/>
      <c r="J18" s="3"/>
      <c r="K18" s="3"/>
    </row>
    <row r="19" spans="1:11">
      <c r="A19" s="4"/>
      <c r="B19" s="9">
        <v>4</v>
      </c>
      <c r="C19" s="4" t="s">
        <v>29</v>
      </c>
      <c r="D19" s="4" t="s">
        <v>9</v>
      </c>
      <c r="E19" s="4"/>
      <c r="F19" s="1"/>
      <c r="G19" s="3"/>
      <c r="H19" s="3"/>
      <c r="I19" s="3"/>
      <c r="J19" s="3"/>
      <c r="K19" s="3"/>
    </row>
    <row r="20" spans="1:11">
      <c r="A20" s="4"/>
      <c r="B20" s="9">
        <v>5</v>
      </c>
      <c r="C20" s="4" t="s">
        <v>30</v>
      </c>
      <c r="D20" s="4" t="s">
        <v>9</v>
      </c>
      <c r="E20" s="4"/>
      <c r="F20" s="1"/>
      <c r="G20" s="3"/>
      <c r="H20" s="3"/>
      <c r="I20" s="3"/>
      <c r="J20" s="3"/>
      <c r="K20" s="3"/>
    </row>
    <row r="21" spans="1:11">
      <c r="A21" s="4"/>
      <c r="B21" s="9">
        <v>6</v>
      </c>
      <c r="C21" s="4" t="s">
        <v>31</v>
      </c>
      <c r="D21" s="4" t="s">
        <v>9</v>
      </c>
      <c r="E21" s="4"/>
      <c r="F21" s="1"/>
      <c r="G21" s="3"/>
      <c r="H21" s="3"/>
      <c r="I21" s="3"/>
      <c r="J21" s="3"/>
      <c r="K21" s="3"/>
    </row>
    <row r="22" spans="1:11">
      <c r="A22" s="4"/>
      <c r="B22" s="9">
        <v>7</v>
      </c>
      <c r="C22" s="4" t="s">
        <v>32</v>
      </c>
      <c r="D22" s="4" t="s">
        <v>9</v>
      </c>
      <c r="E22" s="4"/>
      <c r="F22" s="1"/>
      <c r="G22" s="3"/>
      <c r="H22" s="3"/>
      <c r="I22" s="3"/>
      <c r="J22" s="3"/>
      <c r="K22" s="3"/>
    </row>
    <row r="23" spans="1:11">
      <c r="A23" s="4"/>
      <c r="B23" s="9" t="s">
        <v>33</v>
      </c>
      <c r="C23" s="4" t="s">
        <v>21</v>
      </c>
      <c r="D23" s="4"/>
      <c r="E23" s="4"/>
      <c r="F23" s="1"/>
      <c r="G23" s="3"/>
      <c r="H23" s="3"/>
      <c r="I23" s="3"/>
      <c r="J23" s="3"/>
      <c r="K23" s="3"/>
    </row>
    <row r="24" spans="1:11">
      <c r="A24" s="4"/>
      <c r="B24" s="9">
        <v>15</v>
      </c>
      <c r="C24" s="4"/>
      <c r="D24" s="4" t="s">
        <v>9</v>
      </c>
      <c r="E24" s="4"/>
      <c r="F24" s="1"/>
      <c r="G24" s="3"/>
      <c r="H24" s="3"/>
      <c r="I24" s="3"/>
      <c r="J24" s="3"/>
      <c r="K24" s="3"/>
    </row>
    <row r="25" spans="1:11">
      <c r="A25" s="55" t="s">
        <v>34</v>
      </c>
      <c r="B25" s="55"/>
      <c r="C25" s="55"/>
      <c r="D25" s="55"/>
      <c r="E25" s="55"/>
      <c r="F25" s="1"/>
      <c r="G25" s="53" t="s">
        <v>34</v>
      </c>
      <c r="H25" s="53"/>
      <c r="I25" s="53"/>
      <c r="J25" s="53"/>
      <c r="K25" s="53"/>
    </row>
    <row r="26" spans="1:11">
      <c r="A26" s="10">
        <f>A15+12</f>
        <v>114</v>
      </c>
      <c r="B26" s="11">
        <v>0</v>
      </c>
      <c r="C26" s="10" t="s">
        <v>35</v>
      </c>
      <c r="D26" s="10" t="s">
        <v>9</v>
      </c>
      <c r="E26" s="10" t="s">
        <v>36</v>
      </c>
      <c r="F26" s="1"/>
      <c r="G26" s="10">
        <f>G15+12</f>
        <v>114</v>
      </c>
      <c r="H26" s="11">
        <v>0</v>
      </c>
      <c r="I26" s="10" t="s">
        <v>37</v>
      </c>
      <c r="J26" s="10"/>
      <c r="K26" s="10"/>
    </row>
    <row r="27" spans="1:11">
      <c r="A27" s="10"/>
      <c r="B27" s="11" t="s">
        <v>33</v>
      </c>
      <c r="C27" s="10"/>
      <c r="D27" s="10"/>
      <c r="E27" s="10"/>
      <c r="F27" s="1"/>
      <c r="G27" s="10"/>
      <c r="H27" s="11">
        <v>1</v>
      </c>
      <c r="I27" s="10" t="s">
        <v>38</v>
      </c>
      <c r="J27" s="10"/>
      <c r="K27" s="10"/>
    </row>
    <row r="28" spans="1:11">
      <c r="A28" s="10">
        <f>A26+2</f>
        <v>116</v>
      </c>
      <c r="B28" s="11"/>
      <c r="C28" s="10" t="s">
        <v>39</v>
      </c>
      <c r="D28" s="10" t="s">
        <v>40</v>
      </c>
      <c r="E28" s="10"/>
      <c r="F28" s="1"/>
      <c r="G28" s="10"/>
      <c r="H28" s="11">
        <v>2</v>
      </c>
      <c r="I28" s="10" t="s">
        <v>41</v>
      </c>
      <c r="J28" s="10"/>
      <c r="K28" s="10"/>
    </row>
    <row r="29" spans="1:11">
      <c r="A29" s="10">
        <f>A28+2</f>
        <v>118</v>
      </c>
      <c r="B29" s="11"/>
      <c r="C29" s="10" t="s">
        <v>42</v>
      </c>
      <c r="D29" s="10" t="s">
        <v>43</v>
      </c>
      <c r="E29" s="10"/>
      <c r="F29" s="1"/>
      <c r="G29" s="10"/>
      <c r="H29" s="11" t="s">
        <v>33</v>
      </c>
      <c r="I29" s="10"/>
      <c r="J29" s="10"/>
      <c r="K29" s="10"/>
    </row>
    <row r="30" spans="1:11">
      <c r="A30" s="10">
        <f>A29+42</f>
        <v>160</v>
      </c>
      <c r="B30" s="11"/>
      <c r="C30" s="10" t="s">
        <v>21</v>
      </c>
      <c r="D30" s="10"/>
      <c r="E30" s="10"/>
      <c r="F30" s="1"/>
      <c r="G30" s="10">
        <f>G26+2</f>
        <v>116</v>
      </c>
      <c r="H30" s="11"/>
      <c r="I30" s="10" t="s">
        <v>44</v>
      </c>
      <c r="J30" s="10" t="s">
        <v>40</v>
      </c>
      <c r="K30" s="10"/>
    </row>
    <row r="31" spans="1:11">
      <c r="A31" s="10"/>
      <c r="B31" s="11"/>
      <c r="C31" s="10"/>
      <c r="D31" s="10"/>
      <c r="E31" s="10"/>
      <c r="F31" s="1"/>
      <c r="G31" s="10">
        <f>G30+2</f>
        <v>118</v>
      </c>
      <c r="H31" s="11"/>
      <c r="I31" s="10" t="s">
        <v>21</v>
      </c>
      <c r="J31" s="10"/>
      <c r="K31" s="10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2">
        <f>A30+100</f>
        <v>260</v>
      </c>
      <c r="B33" s="13">
        <v>0</v>
      </c>
      <c r="C33" s="12" t="s">
        <v>166</v>
      </c>
      <c r="D33" s="12" t="s">
        <v>9</v>
      </c>
      <c r="E33" s="12" t="s">
        <v>36</v>
      </c>
      <c r="F33" s="1"/>
      <c r="G33" s="12">
        <f>G31+100</f>
        <v>218</v>
      </c>
      <c r="H33" s="13">
        <v>0</v>
      </c>
      <c r="I33" s="12" t="s">
        <v>154</v>
      </c>
      <c r="J33" s="12"/>
      <c r="K33" s="12"/>
    </row>
    <row r="34" spans="1:11">
      <c r="A34" s="12"/>
      <c r="B34" s="13" t="s">
        <v>33</v>
      </c>
      <c r="C34" s="12"/>
      <c r="D34" s="12"/>
      <c r="E34" s="12"/>
      <c r="F34" s="1"/>
      <c r="G34" s="12"/>
      <c r="H34" s="13">
        <v>1</v>
      </c>
      <c r="I34" s="12" t="s">
        <v>155</v>
      </c>
      <c r="J34" s="12"/>
      <c r="K34" s="12"/>
    </row>
    <row r="35" spans="1:11">
      <c r="A35" s="12">
        <f>A33+2</f>
        <v>262</v>
      </c>
      <c r="B35" s="13"/>
      <c r="C35" s="12" t="s">
        <v>39</v>
      </c>
      <c r="D35" s="12" t="s">
        <v>40</v>
      </c>
      <c r="E35" s="12"/>
      <c r="F35" s="1"/>
      <c r="G35" s="12"/>
      <c r="H35" s="13">
        <v>2</v>
      </c>
      <c r="I35" s="12" t="s">
        <v>156</v>
      </c>
      <c r="J35" s="12"/>
      <c r="K35" s="12"/>
    </row>
    <row r="36" spans="1:11">
      <c r="A36" s="12">
        <f>A35+2</f>
        <v>264</v>
      </c>
      <c r="B36" s="13"/>
      <c r="C36" s="12" t="s">
        <v>42</v>
      </c>
      <c r="D36" s="12" t="s">
        <v>43</v>
      </c>
      <c r="E36" s="12"/>
      <c r="F36" s="1"/>
      <c r="G36" s="12"/>
      <c r="H36" s="13" t="s">
        <v>33</v>
      </c>
      <c r="I36" s="12"/>
      <c r="J36" s="12"/>
      <c r="K36" s="12"/>
    </row>
    <row r="37" spans="1:11">
      <c r="A37" s="12">
        <f>A36+42</f>
        <v>306</v>
      </c>
      <c r="B37" s="13"/>
      <c r="C37" s="12" t="s">
        <v>21</v>
      </c>
      <c r="D37" s="12"/>
      <c r="E37" s="12"/>
      <c r="F37" s="1"/>
      <c r="G37" s="12">
        <f>G33+2</f>
        <v>220</v>
      </c>
      <c r="H37" s="13"/>
      <c r="I37" s="12" t="s">
        <v>44</v>
      </c>
      <c r="J37" s="12" t="s">
        <v>40</v>
      </c>
      <c r="K37" s="12"/>
    </row>
    <row r="38" spans="1:11">
      <c r="A38" s="12"/>
      <c r="B38" s="13"/>
      <c r="C38" s="12"/>
      <c r="D38" s="12"/>
      <c r="E38" s="12"/>
      <c r="F38" s="1"/>
      <c r="G38" s="12">
        <f>G37+2</f>
        <v>222</v>
      </c>
      <c r="H38" s="13"/>
      <c r="I38" s="12" t="s">
        <v>21</v>
      </c>
      <c r="J38" s="12"/>
      <c r="K38" s="12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4">
        <f>A37+100</f>
        <v>406</v>
      </c>
      <c r="B40" s="15">
        <v>0</v>
      </c>
      <c r="C40" s="14" t="s">
        <v>167</v>
      </c>
      <c r="D40" s="14" t="s">
        <v>9</v>
      </c>
      <c r="E40" s="14" t="s">
        <v>50</v>
      </c>
      <c r="F40" s="1"/>
      <c r="G40" s="14">
        <f>G38+100</f>
        <v>322</v>
      </c>
      <c r="H40" s="15">
        <v>0</v>
      </c>
      <c r="I40" s="14" t="s">
        <v>157</v>
      </c>
      <c r="J40" s="14"/>
      <c r="K40" s="14"/>
    </row>
    <row r="41" spans="1:11">
      <c r="A41" s="14"/>
      <c r="B41" s="15" t="s">
        <v>33</v>
      </c>
      <c r="C41" s="14"/>
      <c r="D41" s="14"/>
      <c r="E41" s="14"/>
      <c r="F41" s="1"/>
      <c r="G41" s="14"/>
      <c r="H41" s="15">
        <v>1</v>
      </c>
      <c r="I41" s="14" t="s">
        <v>158</v>
      </c>
      <c r="J41" s="14"/>
      <c r="K41" s="14"/>
    </row>
    <row r="42" spans="1:11">
      <c r="A42" s="14">
        <f>A40+2</f>
        <v>408</v>
      </c>
      <c r="B42" s="15"/>
      <c r="C42" s="14" t="s">
        <v>39</v>
      </c>
      <c r="D42" s="14" t="s">
        <v>40</v>
      </c>
      <c r="E42" s="14"/>
      <c r="F42" s="1"/>
      <c r="G42" s="14"/>
      <c r="H42" s="15">
        <v>2</v>
      </c>
      <c r="I42" s="14" t="s">
        <v>159</v>
      </c>
      <c r="J42" s="14"/>
      <c r="K42" s="14"/>
    </row>
    <row r="43" spans="1:11">
      <c r="A43" s="14">
        <f>A42+2</f>
        <v>410</v>
      </c>
      <c r="B43" s="15"/>
      <c r="C43" s="14" t="s">
        <v>42</v>
      </c>
      <c r="D43" s="14" t="s">
        <v>43</v>
      </c>
      <c r="E43" s="14"/>
      <c r="F43" s="1"/>
      <c r="G43" s="14"/>
      <c r="H43" s="15" t="s">
        <v>33</v>
      </c>
      <c r="I43" s="14"/>
      <c r="J43" s="14"/>
      <c r="K43" s="14"/>
    </row>
    <row r="44" spans="1:11">
      <c r="A44" s="14">
        <f>A43+42</f>
        <v>452</v>
      </c>
      <c r="B44" s="15"/>
      <c r="C44" s="14" t="s">
        <v>160</v>
      </c>
      <c r="D44" s="14" t="s">
        <v>40</v>
      </c>
      <c r="E44" s="14"/>
      <c r="F44" s="1"/>
      <c r="G44" s="14">
        <f>G40+2</f>
        <v>324</v>
      </c>
      <c r="H44" s="15"/>
      <c r="I44" s="14" t="s">
        <v>44</v>
      </c>
      <c r="J44" s="14" t="s">
        <v>40</v>
      </c>
      <c r="K44" s="14"/>
    </row>
    <row r="45" spans="1:11">
      <c r="A45" s="14">
        <f t="shared" ref="A45:A50" si="0">A44+2</f>
        <v>454</v>
      </c>
      <c r="B45" s="15"/>
      <c r="C45" s="14" t="s">
        <v>161</v>
      </c>
      <c r="D45" s="14" t="s">
        <v>40</v>
      </c>
      <c r="E45" s="14"/>
      <c r="F45" s="1"/>
      <c r="G45" s="14">
        <f>G44+2</f>
        <v>326</v>
      </c>
      <c r="H45" s="15"/>
      <c r="I45" s="14" t="s">
        <v>21</v>
      </c>
      <c r="J45" s="14"/>
      <c r="K45" s="14"/>
    </row>
    <row r="46" spans="1:11">
      <c r="A46" s="14">
        <f t="shared" si="0"/>
        <v>456</v>
      </c>
      <c r="B46" s="15"/>
      <c r="C46" s="14" t="s">
        <v>162</v>
      </c>
      <c r="D46" s="14" t="s">
        <v>40</v>
      </c>
      <c r="E46" s="14"/>
      <c r="F46" s="1"/>
      <c r="G46" s="14"/>
      <c r="H46" s="15"/>
      <c r="I46" s="14"/>
      <c r="J46" s="14"/>
      <c r="K46" s="14"/>
    </row>
    <row r="47" spans="1:11">
      <c r="A47" s="14">
        <f t="shared" si="0"/>
        <v>458</v>
      </c>
      <c r="B47" s="15"/>
      <c r="C47" s="14" t="s">
        <v>163</v>
      </c>
      <c r="D47" s="14" t="s">
        <v>40</v>
      </c>
      <c r="E47" s="14"/>
      <c r="F47" s="1"/>
      <c r="G47" s="14"/>
      <c r="H47" s="15"/>
      <c r="I47" s="14"/>
      <c r="J47" s="14"/>
      <c r="K47" s="14"/>
    </row>
    <row r="48" spans="1:11">
      <c r="A48" s="14">
        <f t="shared" si="0"/>
        <v>460</v>
      </c>
      <c r="B48" s="15"/>
      <c r="C48" s="14" t="s">
        <v>164</v>
      </c>
      <c r="D48" s="14" t="s">
        <v>40</v>
      </c>
      <c r="E48" s="14"/>
      <c r="F48" s="1"/>
      <c r="G48" s="14"/>
      <c r="H48" s="15"/>
      <c r="I48" s="14"/>
      <c r="J48" s="14"/>
      <c r="K48" s="14"/>
    </row>
    <row r="49" spans="1:11">
      <c r="A49" s="14">
        <f t="shared" si="0"/>
        <v>462</v>
      </c>
      <c r="B49" s="15"/>
      <c r="C49" s="14" t="s">
        <v>165</v>
      </c>
      <c r="D49" s="14" t="s">
        <v>40</v>
      </c>
      <c r="E49" s="14"/>
      <c r="F49" s="1"/>
      <c r="G49" s="14"/>
      <c r="H49" s="15"/>
      <c r="I49" s="14"/>
      <c r="J49" s="14"/>
      <c r="K49" s="14"/>
    </row>
    <row r="50" spans="1:11">
      <c r="A50" s="14">
        <f t="shared" si="0"/>
        <v>464</v>
      </c>
      <c r="B50" s="15"/>
      <c r="C50" s="14" t="s">
        <v>173</v>
      </c>
      <c r="D50" s="14" t="s">
        <v>174</v>
      </c>
      <c r="E50" s="14" t="s">
        <v>175</v>
      </c>
      <c r="F50" s="1"/>
      <c r="G50" s="14"/>
      <c r="H50" s="15"/>
      <c r="I50" s="14"/>
      <c r="J50" s="14"/>
      <c r="K50" s="14"/>
    </row>
    <row r="51" spans="1:11">
      <c r="A51" s="14">
        <f>A50+20*32</f>
        <v>1104</v>
      </c>
      <c r="B51" s="14"/>
      <c r="C51" s="14"/>
      <c r="D51" s="14"/>
      <c r="E51" s="14"/>
      <c r="G51" s="14"/>
      <c r="H51" s="14"/>
      <c r="I51" s="14"/>
      <c r="J51" s="14"/>
      <c r="K51" s="14"/>
    </row>
  </sheetData>
  <mergeCells count="5">
    <mergeCell ref="A3:E3"/>
    <mergeCell ref="G3:K3"/>
    <mergeCell ref="M5:P5"/>
    <mergeCell ref="A25:E25"/>
    <mergeCell ref="G25:K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tabSelected="1" topLeftCell="A31" workbookViewId="0">
      <selection activeCell="E59" sqref="E59"/>
    </sheetView>
  </sheetViews>
  <sheetFormatPr defaultRowHeight="14.25"/>
  <cols>
    <col min="1" max="1" width="9.75" bestFit="1" customWidth="1"/>
    <col min="2" max="2" width="4.5" bestFit="1" customWidth="1"/>
    <col min="3" max="3" width="17.25" bestFit="1" customWidth="1"/>
    <col min="4" max="4" width="15.125" bestFit="1" customWidth="1"/>
    <col min="5" max="5" width="47.5" bestFit="1" customWidth="1"/>
    <col min="8" max="8" width="4.5" bestFit="1" customWidth="1"/>
    <col min="9" max="9" width="16.25" bestFit="1" customWidth="1"/>
    <col min="11" max="11" width="41.375" customWidth="1"/>
    <col min="13" max="13" width="6.625" bestFit="1" customWidth="1"/>
    <col min="14" max="14" width="8.625" customWidth="1"/>
    <col min="15" max="15" width="10.75" bestFit="1" customWidth="1"/>
    <col min="16" max="16" width="8.5" bestFit="1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7">
        <v>200</v>
      </c>
      <c r="C2" s="1"/>
      <c r="D2" s="1"/>
      <c r="E2" s="1"/>
      <c r="F2" s="1"/>
      <c r="G2" s="1" t="s">
        <v>191</v>
      </c>
      <c r="H2" s="1">
        <v>201</v>
      </c>
      <c r="I2" s="1"/>
      <c r="J2" s="1"/>
      <c r="K2" s="1"/>
      <c r="L2" s="1"/>
      <c r="M2" s="1"/>
      <c r="N2" s="1"/>
      <c r="O2" s="1"/>
      <c r="P2" s="1"/>
    </row>
    <row r="3" spans="1:16">
      <c r="A3" s="51" t="s">
        <v>2</v>
      </c>
      <c r="B3" s="51"/>
      <c r="C3" s="51"/>
      <c r="D3" s="51"/>
      <c r="E3" s="51"/>
      <c r="F3" s="1"/>
      <c r="G3" s="51" t="s">
        <v>3</v>
      </c>
      <c r="H3" s="51"/>
      <c r="I3" s="51"/>
      <c r="J3" s="51"/>
      <c r="K3" s="51"/>
      <c r="L3" s="1"/>
      <c r="M3" s="1"/>
      <c r="N3" s="1"/>
      <c r="O3" s="1"/>
      <c r="P3" s="1"/>
    </row>
    <row r="4" spans="1:16">
      <c r="A4" s="2" t="s">
        <v>4</v>
      </c>
      <c r="B4" s="1"/>
      <c r="C4" s="2" t="s">
        <v>5</v>
      </c>
      <c r="D4" s="2" t="s">
        <v>6</v>
      </c>
      <c r="E4" s="2" t="s">
        <v>7</v>
      </c>
      <c r="F4" s="1"/>
      <c r="G4" s="33" t="s">
        <v>4</v>
      </c>
      <c r="H4" s="1"/>
      <c r="I4" s="33" t="s">
        <v>5</v>
      </c>
      <c r="J4" s="33" t="s">
        <v>6</v>
      </c>
      <c r="K4" s="33" t="s">
        <v>7</v>
      </c>
      <c r="L4" s="1"/>
      <c r="M4" s="1"/>
      <c r="N4" s="1"/>
      <c r="O4" s="1"/>
      <c r="P4" s="1"/>
    </row>
    <row r="5" spans="1:16">
      <c r="A5" s="3">
        <v>100</v>
      </c>
      <c r="B5" s="8">
        <v>0</v>
      </c>
      <c r="C5" s="3" t="s">
        <v>8</v>
      </c>
      <c r="D5" s="3" t="s">
        <v>9</v>
      </c>
      <c r="E5" s="3"/>
      <c r="F5" s="1"/>
      <c r="G5" s="3">
        <v>100</v>
      </c>
      <c r="H5" s="8">
        <v>0</v>
      </c>
      <c r="I5" s="3" t="s">
        <v>10</v>
      </c>
      <c r="J5" s="3" t="s">
        <v>9</v>
      </c>
      <c r="K5" s="3"/>
      <c r="L5" s="1"/>
      <c r="M5" s="56" t="s">
        <v>52</v>
      </c>
      <c r="N5" s="56"/>
      <c r="O5" s="56"/>
      <c r="P5" s="56"/>
    </row>
    <row r="6" spans="1:16">
      <c r="A6" s="3"/>
      <c r="B6" s="8">
        <v>1</v>
      </c>
      <c r="C6" s="3" t="s">
        <v>11</v>
      </c>
      <c r="D6" s="3" t="s">
        <v>9</v>
      </c>
      <c r="E6" s="3"/>
      <c r="F6" s="1"/>
      <c r="G6" s="3"/>
      <c r="H6" s="8">
        <v>1</v>
      </c>
      <c r="I6" s="3" t="s">
        <v>12</v>
      </c>
      <c r="J6" s="3" t="s">
        <v>9</v>
      </c>
      <c r="K6" s="3"/>
      <c r="L6" s="1"/>
      <c r="M6" s="5" t="s">
        <v>4</v>
      </c>
      <c r="N6" s="16"/>
      <c r="O6" s="5" t="s">
        <v>5</v>
      </c>
      <c r="P6" s="5" t="s">
        <v>6</v>
      </c>
    </row>
    <row r="7" spans="1:16">
      <c r="A7" s="3"/>
      <c r="B7" s="8">
        <v>2</v>
      </c>
      <c r="C7" s="3" t="s">
        <v>13</v>
      </c>
      <c r="D7" s="3" t="s">
        <v>9</v>
      </c>
      <c r="E7" s="3"/>
      <c r="F7" s="1"/>
      <c r="G7" s="3"/>
      <c r="H7" s="8">
        <v>2</v>
      </c>
      <c r="I7" s="3" t="s">
        <v>14</v>
      </c>
      <c r="J7" s="3" t="s">
        <v>9</v>
      </c>
      <c r="K7" s="3"/>
      <c r="L7" s="1"/>
      <c r="M7" s="6">
        <v>0</v>
      </c>
      <c r="N7" s="6"/>
      <c r="O7" s="6" t="s">
        <v>55</v>
      </c>
      <c r="P7" s="6" t="s">
        <v>117</v>
      </c>
    </row>
    <row r="8" spans="1:16">
      <c r="A8" s="3"/>
      <c r="B8" s="8">
        <v>3</v>
      </c>
      <c r="C8" s="3" t="s">
        <v>15</v>
      </c>
      <c r="D8" s="3" t="s">
        <v>9</v>
      </c>
      <c r="E8" s="3"/>
      <c r="F8" s="1"/>
      <c r="G8" s="3"/>
      <c r="H8" s="8">
        <v>3</v>
      </c>
      <c r="I8" s="3" t="s">
        <v>16</v>
      </c>
      <c r="J8" s="3" t="s">
        <v>9</v>
      </c>
      <c r="K8" s="3"/>
      <c r="L8" s="1"/>
      <c r="M8" s="6">
        <v>4</v>
      </c>
      <c r="N8" s="6"/>
      <c r="O8" s="6" t="s">
        <v>56</v>
      </c>
      <c r="P8" s="6" t="s">
        <v>117</v>
      </c>
    </row>
    <row r="9" spans="1:16">
      <c r="A9" s="3"/>
      <c r="B9" s="8">
        <v>4</v>
      </c>
      <c r="C9" s="3" t="s">
        <v>17</v>
      </c>
      <c r="D9" s="3" t="s">
        <v>9</v>
      </c>
      <c r="E9" s="3"/>
      <c r="F9" s="1"/>
      <c r="G9" s="3"/>
      <c r="H9" s="8">
        <v>4</v>
      </c>
      <c r="I9" s="3" t="s">
        <v>18</v>
      </c>
      <c r="J9" s="3" t="s">
        <v>9</v>
      </c>
      <c r="K9" s="3"/>
      <c r="L9" s="1"/>
      <c r="M9" s="6">
        <v>8</v>
      </c>
      <c r="N9" s="6"/>
      <c r="O9" s="6" t="s">
        <v>58</v>
      </c>
      <c r="P9" s="6" t="s">
        <v>117</v>
      </c>
    </row>
    <row r="10" spans="1:16">
      <c r="A10" s="3"/>
      <c r="B10" s="8">
        <v>5</v>
      </c>
      <c r="C10" s="3" t="s">
        <v>19</v>
      </c>
      <c r="D10" s="3" t="s">
        <v>9</v>
      </c>
      <c r="E10" s="3"/>
      <c r="F10" s="1"/>
      <c r="G10" s="3"/>
      <c r="H10" s="8">
        <v>5</v>
      </c>
      <c r="I10" s="3" t="s">
        <v>20</v>
      </c>
      <c r="J10" s="3" t="s">
        <v>9</v>
      </c>
      <c r="K10" s="3"/>
      <c r="L10" s="1"/>
      <c r="M10" s="6">
        <v>12</v>
      </c>
      <c r="N10" s="6"/>
      <c r="O10" s="6" t="s">
        <v>60</v>
      </c>
      <c r="P10" s="6" t="s">
        <v>117</v>
      </c>
    </row>
    <row r="11" spans="1:16">
      <c r="A11" s="3"/>
      <c r="B11" s="8">
        <v>6</v>
      </c>
      <c r="C11" s="3" t="s">
        <v>21</v>
      </c>
      <c r="D11" s="3" t="s">
        <v>9</v>
      </c>
      <c r="E11" s="3"/>
      <c r="F11" s="1"/>
      <c r="G11" s="3"/>
      <c r="H11" s="8" t="s">
        <v>22</v>
      </c>
      <c r="I11" s="3" t="s">
        <v>21</v>
      </c>
      <c r="J11" s="3"/>
      <c r="K11" s="3"/>
      <c r="L11" s="1"/>
      <c r="M11" s="6">
        <v>16</v>
      </c>
      <c r="N11" s="6"/>
      <c r="O11" s="6"/>
      <c r="P11" s="6"/>
    </row>
    <row r="12" spans="1:16">
      <c r="A12" s="3"/>
      <c r="B12" s="8">
        <v>7</v>
      </c>
      <c r="C12" s="3" t="s">
        <v>21</v>
      </c>
      <c r="D12" s="3" t="s">
        <v>9</v>
      </c>
      <c r="E12" s="3"/>
      <c r="F12" s="1"/>
      <c r="G12" s="3"/>
      <c r="H12" s="8">
        <v>8</v>
      </c>
      <c r="I12" s="3" t="s">
        <v>21</v>
      </c>
      <c r="J12" s="3" t="s">
        <v>9</v>
      </c>
      <c r="K12" s="3"/>
      <c r="L12" s="1"/>
      <c r="M12" s="1"/>
      <c r="N12" s="1"/>
      <c r="O12" s="1"/>
      <c r="P12" s="1"/>
    </row>
    <row r="13" spans="1:16">
      <c r="A13" s="3"/>
      <c r="B13" s="8" t="s">
        <v>22</v>
      </c>
      <c r="C13" s="3"/>
      <c r="D13" s="3"/>
      <c r="E13" s="3"/>
      <c r="F13" s="1"/>
      <c r="G13" s="3"/>
      <c r="H13" s="8" t="s">
        <v>22</v>
      </c>
      <c r="I13" s="3" t="s">
        <v>21</v>
      </c>
      <c r="J13" s="3"/>
      <c r="K13" s="3"/>
      <c r="L13" s="1"/>
      <c r="M13" s="1"/>
      <c r="N13" s="1"/>
      <c r="O13" s="1"/>
      <c r="P13" s="1"/>
    </row>
    <row r="14" spans="1:16">
      <c r="A14" s="3"/>
      <c r="B14" s="8">
        <v>15</v>
      </c>
      <c r="C14" s="3" t="s">
        <v>23</v>
      </c>
      <c r="D14" s="3" t="s">
        <v>9</v>
      </c>
      <c r="E14" s="3"/>
      <c r="F14" s="1"/>
      <c r="G14" s="3"/>
      <c r="H14" s="8">
        <v>15</v>
      </c>
      <c r="I14" s="3" t="s">
        <v>24</v>
      </c>
      <c r="J14" s="3"/>
      <c r="K14" s="3"/>
      <c r="L14" s="1"/>
      <c r="M14" s="1"/>
      <c r="N14" s="1"/>
      <c r="O14" s="1"/>
      <c r="P14" s="1"/>
    </row>
    <row r="15" spans="1:16">
      <c r="A15" s="4">
        <f>A5+2</f>
        <v>102</v>
      </c>
      <c r="B15" s="9">
        <v>0</v>
      </c>
      <c r="C15" s="4" t="s">
        <v>25</v>
      </c>
      <c r="D15" s="4" t="s">
        <v>9</v>
      </c>
      <c r="E15" s="4"/>
      <c r="F15" s="1"/>
      <c r="G15" s="3">
        <f>G5+2</f>
        <v>102</v>
      </c>
      <c r="H15" s="3"/>
      <c r="I15" s="3"/>
      <c r="J15" s="3"/>
      <c r="K15" s="3"/>
      <c r="L15" s="1"/>
      <c r="M15" s="1"/>
      <c r="N15" s="1"/>
      <c r="O15" s="1"/>
      <c r="P15" s="1"/>
    </row>
    <row r="16" spans="1:16">
      <c r="A16" s="4"/>
      <c r="B16" s="9">
        <v>1</v>
      </c>
      <c r="C16" s="4" t="s">
        <v>26</v>
      </c>
      <c r="D16" s="4" t="s">
        <v>9</v>
      </c>
      <c r="E16" s="4"/>
      <c r="F16" s="1"/>
      <c r="G16" s="3"/>
      <c r="H16" s="3"/>
      <c r="I16" s="3"/>
      <c r="J16" s="3"/>
      <c r="K16" s="3"/>
      <c r="L16" s="1"/>
      <c r="M16" s="1"/>
      <c r="N16" s="1"/>
      <c r="O16" s="1"/>
      <c r="P16" s="1"/>
    </row>
    <row r="17" spans="1:16">
      <c r="A17" s="4"/>
      <c r="B17" s="9">
        <v>2</v>
      </c>
      <c r="C17" s="4" t="s">
        <v>27</v>
      </c>
      <c r="D17" s="4" t="s">
        <v>9</v>
      </c>
      <c r="E17" s="4"/>
      <c r="F17" s="1"/>
      <c r="G17" s="3"/>
      <c r="H17" s="3"/>
      <c r="I17" s="3"/>
      <c r="J17" s="3"/>
      <c r="K17" s="3"/>
    </row>
    <row r="18" spans="1:16">
      <c r="A18" s="4"/>
      <c r="B18" s="9">
        <v>3</v>
      </c>
      <c r="C18" s="4" t="s">
        <v>28</v>
      </c>
      <c r="D18" s="4" t="s">
        <v>9</v>
      </c>
      <c r="E18" s="4"/>
      <c r="F18" s="1"/>
      <c r="G18" s="3"/>
      <c r="H18" s="3"/>
      <c r="I18" s="3"/>
      <c r="J18" s="3"/>
      <c r="K18" s="3"/>
    </row>
    <row r="19" spans="1:16">
      <c r="A19" s="4"/>
      <c r="B19" s="9">
        <v>4</v>
      </c>
      <c r="C19" s="4" t="s">
        <v>29</v>
      </c>
      <c r="D19" s="4" t="s">
        <v>9</v>
      </c>
      <c r="E19" s="4"/>
      <c r="F19" s="1"/>
      <c r="G19" s="3"/>
      <c r="H19" s="3"/>
      <c r="I19" s="3"/>
      <c r="J19" s="3"/>
      <c r="K19" s="3"/>
    </row>
    <row r="20" spans="1:16">
      <c r="A20" s="4"/>
      <c r="B20" s="9">
        <v>5</v>
      </c>
      <c r="C20" s="4" t="s">
        <v>30</v>
      </c>
      <c r="D20" s="4" t="s">
        <v>9</v>
      </c>
      <c r="E20" s="4"/>
      <c r="F20" s="1"/>
      <c r="G20" s="3"/>
      <c r="H20" s="3"/>
      <c r="I20" s="3"/>
      <c r="J20" s="3"/>
      <c r="K20" s="3"/>
    </row>
    <row r="21" spans="1:16">
      <c r="A21" s="4"/>
      <c r="B21" s="9">
        <v>6</v>
      </c>
      <c r="C21" s="4" t="s">
        <v>31</v>
      </c>
      <c r="D21" s="4" t="s">
        <v>9</v>
      </c>
      <c r="E21" s="4"/>
      <c r="F21" s="1"/>
      <c r="G21" s="3"/>
      <c r="H21" s="3"/>
      <c r="I21" s="3"/>
      <c r="J21" s="3"/>
      <c r="K21" s="3"/>
    </row>
    <row r="22" spans="1:16">
      <c r="A22" s="4"/>
      <c r="B22" s="9">
        <v>7</v>
      </c>
      <c r="C22" s="4" t="s">
        <v>32</v>
      </c>
      <c r="D22" s="4" t="s">
        <v>9</v>
      </c>
      <c r="E22" s="4"/>
      <c r="F22" s="1"/>
      <c r="G22" s="3"/>
      <c r="H22" s="3"/>
      <c r="I22" s="3"/>
      <c r="J22" s="3"/>
      <c r="K22" s="3"/>
    </row>
    <row r="23" spans="1:16">
      <c r="A23" s="4"/>
      <c r="B23" s="9" t="s">
        <v>33</v>
      </c>
      <c r="C23" s="4" t="s">
        <v>21</v>
      </c>
      <c r="D23" s="4"/>
      <c r="E23" s="4"/>
      <c r="F23" s="1"/>
      <c r="G23" s="3"/>
      <c r="H23" s="3"/>
      <c r="I23" s="3"/>
      <c r="J23" s="3"/>
      <c r="K23" s="3"/>
    </row>
    <row r="24" spans="1:16">
      <c r="A24" s="4"/>
      <c r="B24" s="9">
        <v>15</v>
      </c>
      <c r="C24" s="4"/>
      <c r="D24" s="4" t="s">
        <v>9</v>
      </c>
      <c r="E24" s="4"/>
      <c r="F24" s="1"/>
      <c r="G24" s="3"/>
      <c r="H24" s="3"/>
      <c r="I24" s="3"/>
      <c r="J24" s="3"/>
      <c r="K24" s="3"/>
    </row>
    <row r="25" spans="1:16">
      <c r="A25" s="55" t="s">
        <v>34</v>
      </c>
      <c r="B25" s="55"/>
      <c r="C25" s="55"/>
      <c r="D25" s="55"/>
      <c r="E25" s="55"/>
      <c r="F25" s="1"/>
      <c r="G25" s="53" t="s">
        <v>34</v>
      </c>
      <c r="H25" s="53"/>
      <c r="I25" s="53"/>
      <c r="J25" s="53"/>
      <c r="K25" s="53"/>
    </row>
    <row r="26" spans="1:16">
      <c r="A26" s="10">
        <f>A15+12</f>
        <v>114</v>
      </c>
      <c r="B26" s="11">
        <v>0</v>
      </c>
      <c r="C26" s="10" t="s">
        <v>35</v>
      </c>
      <c r="D26" s="10" t="s">
        <v>9</v>
      </c>
      <c r="E26" s="10" t="s">
        <v>36</v>
      </c>
      <c r="F26" s="1"/>
      <c r="G26" s="10">
        <f>G15+12</f>
        <v>114</v>
      </c>
      <c r="H26" s="11">
        <v>0</v>
      </c>
      <c r="I26" s="10" t="s">
        <v>37</v>
      </c>
      <c r="J26" s="10"/>
      <c r="K26" s="10"/>
    </row>
    <row r="27" spans="1:16">
      <c r="A27" s="10"/>
      <c r="B27" s="11" t="s">
        <v>33</v>
      </c>
      <c r="C27" s="10"/>
      <c r="D27" s="10"/>
      <c r="E27" s="10"/>
      <c r="F27" s="1"/>
      <c r="G27" s="10"/>
      <c r="H27" s="11">
        <v>1</v>
      </c>
      <c r="I27" s="10" t="s">
        <v>38</v>
      </c>
      <c r="J27" s="10"/>
      <c r="K27" s="10"/>
    </row>
    <row r="28" spans="1:16">
      <c r="A28" s="10">
        <f>A26+2</f>
        <v>116</v>
      </c>
      <c r="B28" s="11"/>
      <c r="C28" s="10" t="s">
        <v>39</v>
      </c>
      <c r="D28" s="10" t="s">
        <v>40</v>
      </c>
      <c r="E28" s="10"/>
      <c r="F28" s="1"/>
      <c r="G28" s="10"/>
      <c r="H28" s="11">
        <v>2</v>
      </c>
      <c r="I28" s="10" t="s">
        <v>41</v>
      </c>
      <c r="J28" s="10"/>
      <c r="K28" s="10"/>
    </row>
    <row r="29" spans="1:16">
      <c r="A29" s="10">
        <f>A28+2</f>
        <v>118</v>
      </c>
      <c r="B29" s="11"/>
      <c r="C29" s="10" t="s">
        <v>42</v>
      </c>
      <c r="D29" s="10" t="s">
        <v>43</v>
      </c>
      <c r="E29" s="10"/>
      <c r="F29" s="1"/>
      <c r="G29" s="10"/>
      <c r="H29" s="11" t="s">
        <v>33</v>
      </c>
      <c r="I29" s="10"/>
      <c r="J29" s="10"/>
      <c r="K29" s="10"/>
    </row>
    <row r="30" spans="1:16">
      <c r="A30" s="10">
        <f>A29+42</f>
        <v>160</v>
      </c>
      <c r="B30" s="11"/>
      <c r="C30" s="10" t="s">
        <v>21</v>
      </c>
      <c r="D30" s="10"/>
      <c r="E30" s="10"/>
      <c r="F30" s="1"/>
      <c r="G30" s="10">
        <f>G26+2</f>
        <v>116</v>
      </c>
      <c r="H30" s="11"/>
      <c r="I30" s="10" t="s">
        <v>44</v>
      </c>
      <c r="J30" s="10" t="s">
        <v>40</v>
      </c>
      <c r="K30" s="10"/>
    </row>
    <row r="31" spans="1:16">
      <c r="A31" s="10"/>
      <c r="B31" s="11"/>
      <c r="C31" s="10"/>
      <c r="D31" s="10"/>
      <c r="E31" s="10"/>
      <c r="F31" s="1"/>
      <c r="G31" s="10">
        <f>G30+2</f>
        <v>118</v>
      </c>
      <c r="H31" s="11"/>
      <c r="I31" s="10" t="s">
        <v>21</v>
      </c>
      <c r="J31" s="10"/>
      <c r="K31" s="10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2">
        <f>A30+100</f>
        <v>260</v>
      </c>
      <c r="B33" s="13">
        <v>0</v>
      </c>
      <c r="C33" s="12" t="s">
        <v>45</v>
      </c>
      <c r="D33" s="12" t="s">
        <v>9</v>
      </c>
      <c r="E33" s="12" t="s">
        <v>36</v>
      </c>
      <c r="F33" s="1"/>
      <c r="G33" s="12">
        <f>G31+100</f>
        <v>218</v>
      </c>
      <c r="H33" s="13">
        <v>0</v>
      </c>
      <c r="I33" s="12" t="s">
        <v>46</v>
      </c>
      <c r="J33" s="12"/>
      <c r="K33" s="12"/>
      <c r="L33" s="1"/>
      <c r="M33" s="1"/>
      <c r="N33" s="1"/>
      <c r="O33" s="1"/>
      <c r="P33" s="1"/>
    </row>
    <row r="34" spans="1:16">
      <c r="A34" s="12"/>
      <c r="B34" s="13" t="s">
        <v>33</v>
      </c>
      <c r="C34" s="12"/>
      <c r="D34" s="12"/>
      <c r="E34" s="12"/>
      <c r="F34" s="1"/>
      <c r="G34" s="12"/>
      <c r="H34" s="13">
        <v>1</v>
      </c>
      <c r="I34" s="12" t="s">
        <v>47</v>
      </c>
      <c r="J34" s="12"/>
      <c r="K34" s="12"/>
      <c r="L34" s="1"/>
      <c r="M34" s="1"/>
      <c r="N34" s="1"/>
      <c r="O34" s="1"/>
      <c r="P34" s="1"/>
    </row>
    <row r="35" spans="1:16">
      <c r="A35" s="12">
        <f>A33+2</f>
        <v>262</v>
      </c>
      <c r="B35" s="13"/>
      <c r="C35" s="12" t="s">
        <v>39</v>
      </c>
      <c r="D35" s="12" t="s">
        <v>40</v>
      </c>
      <c r="E35" s="12"/>
      <c r="F35" s="1"/>
      <c r="G35" s="12"/>
      <c r="H35" s="13">
        <v>2</v>
      </c>
      <c r="I35" s="12" t="s">
        <v>48</v>
      </c>
      <c r="J35" s="12"/>
      <c r="K35" s="12"/>
      <c r="L35" s="1"/>
      <c r="M35" s="1"/>
      <c r="N35" s="1"/>
      <c r="O35" s="1"/>
      <c r="P35" s="1"/>
    </row>
    <row r="36" spans="1:16">
      <c r="A36" s="12">
        <f>A35+2</f>
        <v>264</v>
      </c>
      <c r="B36" s="13"/>
      <c r="C36" s="12" t="s">
        <v>42</v>
      </c>
      <c r="D36" s="12" t="s">
        <v>43</v>
      </c>
      <c r="E36" s="12"/>
      <c r="F36" s="1"/>
      <c r="G36" s="12"/>
      <c r="H36" s="13" t="s">
        <v>33</v>
      </c>
      <c r="I36" s="12"/>
      <c r="J36" s="12"/>
      <c r="K36" s="12"/>
      <c r="L36" s="1"/>
      <c r="M36" s="1"/>
      <c r="N36" s="1"/>
      <c r="O36" s="1"/>
      <c r="P36" s="1"/>
    </row>
    <row r="37" spans="1:16">
      <c r="A37" s="12">
        <f>A36+42</f>
        <v>306</v>
      </c>
      <c r="B37" s="13"/>
      <c r="C37" s="12" t="s">
        <v>21</v>
      </c>
      <c r="D37" s="12"/>
      <c r="E37" s="12"/>
      <c r="F37" s="1"/>
      <c r="G37" s="12">
        <f>G33+2</f>
        <v>220</v>
      </c>
      <c r="H37" s="13"/>
      <c r="I37" s="12" t="s">
        <v>44</v>
      </c>
      <c r="J37" s="12" t="s">
        <v>40</v>
      </c>
      <c r="K37" s="12"/>
      <c r="L37" s="1"/>
      <c r="M37" s="1"/>
      <c r="N37" s="1"/>
      <c r="O37" s="1"/>
      <c r="P37" s="1"/>
    </row>
    <row r="38" spans="1:16">
      <c r="A38" s="12"/>
      <c r="B38" s="13"/>
      <c r="C38" s="12"/>
      <c r="D38" s="12"/>
      <c r="E38" s="12"/>
      <c r="F38" s="1"/>
      <c r="G38" s="12">
        <f>G37+2</f>
        <v>222</v>
      </c>
      <c r="H38" s="13"/>
      <c r="I38" s="12" t="s">
        <v>21</v>
      </c>
      <c r="J38" s="12"/>
      <c r="K38" s="12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4">
        <f>A37+100</f>
        <v>406</v>
      </c>
      <c r="B40" s="15">
        <v>0</v>
      </c>
      <c r="C40" s="14" t="s">
        <v>49</v>
      </c>
      <c r="D40" s="14" t="s">
        <v>9</v>
      </c>
      <c r="E40" s="14" t="s">
        <v>258</v>
      </c>
      <c r="F40" s="1"/>
      <c r="G40" s="14">
        <f>G38+100</f>
        <v>322</v>
      </c>
      <c r="H40" s="15">
        <v>0</v>
      </c>
      <c r="I40" s="14" t="s">
        <v>51</v>
      </c>
      <c r="J40" s="14"/>
      <c r="K40" s="14"/>
      <c r="L40" s="1"/>
    </row>
    <row r="41" spans="1:16">
      <c r="A41" s="14"/>
      <c r="B41" s="15" t="s">
        <v>33</v>
      </c>
      <c r="C41" s="14"/>
      <c r="D41" s="14"/>
      <c r="E41" s="14"/>
      <c r="F41" s="1"/>
      <c r="G41" s="14"/>
      <c r="H41" s="15">
        <v>1</v>
      </c>
      <c r="I41" s="14" t="s">
        <v>53</v>
      </c>
      <c r="J41" s="14"/>
      <c r="K41" s="14"/>
      <c r="L41" s="1"/>
    </row>
    <row r="42" spans="1:16">
      <c r="A42" s="14">
        <f>A40+2</f>
        <v>408</v>
      </c>
      <c r="B42" s="15"/>
      <c r="C42" s="14" t="s">
        <v>39</v>
      </c>
      <c r="D42" s="14" t="s">
        <v>40</v>
      </c>
      <c r="E42" s="14"/>
      <c r="F42" s="1"/>
      <c r="G42" s="14"/>
      <c r="H42" s="15">
        <v>2</v>
      </c>
      <c r="I42" s="14" t="s">
        <v>54</v>
      </c>
      <c r="J42" s="14"/>
      <c r="K42" s="14"/>
      <c r="L42" s="1"/>
    </row>
    <row r="43" spans="1:16">
      <c r="A43" s="14">
        <f>A42+2</f>
        <v>410</v>
      </c>
      <c r="B43" s="15"/>
      <c r="C43" s="14" t="s">
        <v>42</v>
      </c>
      <c r="D43" s="14" t="s">
        <v>43</v>
      </c>
      <c r="E43" s="14"/>
      <c r="F43" s="1"/>
      <c r="G43" s="14"/>
      <c r="H43" s="15" t="s">
        <v>33</v>
      </c>
      <c r="I43" s="14"/>
      <c r="J43" s="14"/>
      <c r="K43" s="14"/>
      <c r="L43" s="1"/>
    </row>
    <row r="44" spans="1:16">
      <c r="A44" s="14">
        <f>A43+42</f>
        <v>452</v>
      </c>
      <c r="B44" s="15"/>
      <c r="C44" s="14" t="s">
        <v>57</v>
      </c>
      <c r="D44" s="14" t="s">
        <v>40</v>
      </c>
      <c r="E44" s="14"/>
      <c r="F44" s="1"/>
      <c r="G44" s="14">
        <f>G40+2</f>
        <v>324</v>
      </c>
      <c r="H44" s="15"/>
      <c r="I44" s="14" t="s">
        <v>44</v>
      </c>
      <c r="J44" s="14" t="s">
        <v>40</v>
      </c>
      <c r="K44" s="14"/>
      <c r="L44" s="1"/>
    </row>
    <row r="45" spans="1:16">
      <c r="A45" s="14">
        <f t="shared" ref="A45:A49" si="0">A44+2</f>
        <v>454</v>
      </c>
      <c r="B45" s="15"/>
      <c r="C45" s="14" t="s">
        <v>59</v>
      </c>
      <c r="D45" s="14" t="s">
        <v>40</v>
      </c>
      <c r="E45" s="14"/>
      <c r="F45" s="1"/>
      <c r="G45" s="14">
        <f>G44+2</f>
        <v>326</v>
      </c>
      <c r="H45" s="15"/>
      <c r="I45" s="14" t="s">
        <v>21</v>
      </c>
      <c r="J45" s="14"/>
      <c r="K45" s="14"/>
      <c r="L45" s="1"/>
    </row>
    <row r="46" spans="1:16">
      <c r="A46" s="14">
        <f t="shared" si="0"/>
        <v>456</v>
      </c>
      <c r="B46" s="15"/>
      <c r="C46" s="14" t="s">
        <v>61</v>
      </c>
      <c r="D46" s="14" t="s">
        <v>40</v>
      </c>
      <c r="E46" s="14"/>
      <c r="F46" s="1"/>
      <c r="G46" s="14"/>
      <c r="H46" s="15"/>
      <c r="I46" s="14"/>
      <c r="J46" s="14"/>
      <c r="K46" s="14"/>
      <c r="L46" s="1"/>
      <c r="M46" s="1"/>
      <c r="N46" s="1"/>
      <c r="O46" s="1"/>
      <c r="P46" s="1"/>
    </row>
    <row r="47" spans="1:16">
      <c r="A47" s="14">
        <f t="shared" si="0"/>
        <v>458</v>
      </c>
      <c r="B47" s="15"/>
      <c r="C47" s="14" t="s">
        <v>62</v>
      </c>
      <c r="D47" s="14" t="s">
        <v>40</v>
      </c>
      <c r="E47" s="14"/>
      <c r="F47" s="1"/>
      <c r="G47" s="14"/>
      <c r="H47" s="15"/>
      <c r="I47" s="14"/>
      <c r="J47" s="14"/>
      <c r="K47" s="14"/>
      <c r="L47" s="1"/>
      <c r="M47" s="1"/>
      <c r="N47" s="1"/>
      <c r="O47" s="1"/>
      <c r="P47" s="1"/>
    </row>
    <row r="48" spans="1:16">
      <c r="A48" s="14">
        <f t="shared" si="0"/>
        <v>460</v>
      </c>
      <c r="B48" s="15"/>
      <c r="C48" s="14" t="s">
        <v>63</v>
      </c>
      <c r="D48" s="14" t="s">
        <v>40</v>
      </c>
      <c r="E48" s="14"/>
      <c r="F48" s="1"/>
      <c r="G48" s="14"/>
      <c r="H48" s="15"/>
      <c r="I48" s="14"/>
      <c r="J48" s="14"/>
      <c r="K48" s="14"/>
      <c r="L48" s="1"/>
      <c r="M48" s="1"/>
      <c r="N48" s="1"/>
      <c r="O48" s="1"/>
      <c r="P48" s="1"/>
    </row>
    <row r="49" spans="1:16">
      <c r="A49" s="14">
        <f t="shared" si="0"/>
        <v>462</v>
      </c>
      <c r="B49" s="15"/>
      <c r="C49" s="14" t="s">
        <v>64</v>
      </c>
      <c r="D49" s="14" t="s">
        <v>40</v>
      </c>
      <c r="E49" s="14"/>
      <c r="F49" s="1"/>
      <c r="G49" s="14"/>
      <c r="H49" s="15"/>
      <c r="I49" s="14"/>
      <c r="J49" s="14"/>
      <c r="K49" s="14"/>
      <c r="L49" s="1"/>
      <c r="M49" s="1"/>
      <c r="N49" s="1"/>
      <c r="O49" s="1"/>
      <c r="P49" s="1"/>
    </row>
    <row r="50" spans="1:16">
      <c r="A50" s="14">
        <f>A49+2</f>
        <v>464</v>
      </c>
      <c r="B50" s="15"/>
      <c r="C50" s="14" t="s">
        <v>205</v>
      </c>
      <c r="D50" s="14" t="s">
        <v>206</v>
      </c>
      <c r="E50" s="14"/>
      <c r="F50" s="1"/>
      <c r="G50" s="14"/>
      <c r="H50" s="15"/>
      <c r="I50" s="14"/>
      <c r="J50" s="14"/>
      <c r="K50" s="14"/>
      <c r="L50" s="1"/>
      <c r="M50" s="1"/>
      <c r="N50" s="1"/>
      <c r="O50" s="1"/>
      <c r="P50" s="1"/>
    </row>
    <row r="51" spans="1:16">
      <c r="A51" s="14">
        <f>A50+4</f>
        <v>468</v>
      </c>
      <c r="B51" s="15"/>
      <c r="C51" s="14" t="s">
        <v>65</v>
      </c>
      <c r="D51" s="14" t="s">
        <v>66</v>
      </c>
      <c r="E51" s="14" t="s">
        <v>268</v>
      </c>
      <c r="F51" s="1"/>
      <c r="G51" s="14"/>
      <c r="H51" s="15"/>
      <c r="I51" s="14"/>
      <c r="J51" s="14"/>
      <c r="K51" s="14"/>
      <c r="L51" s="1"/>
      <c r="M51" s="1"/>
      <c r="N51" s="1"/>
      <c r="O51" s="1"/>
      <c r="P51" s="1"/>
    </row>
    <row r="52" spans="1:16">
      <c r="A52" s="14">
        <f>A51+16*30</f>
        <v>948</v>
      </c>
      <c r="B52" s="15"/>
      <c r="C52" s="14" t="s">
        <v>21</v>
      </c>
      <c r="D52" s="14"/>
      <c r="E52" s="14"/>
      <c r="F52" s="1"/>
      <c r="G52" s="14"/>
      <c r="H52" s="15"/>
      <c r="I52" s="14"/>
      <c r="J52" s="14"/>
      <c r="K52" s="14"/>
      <c r="L52" s="1"/>
      <c r="M52" s="1"/>
      <c r="N52" s="1"/>
      <c r="O52" s="1"/>
      <c r="P52" s="1"/>
    </row>
    <row r="54" spans="1:16">
      <c r="A54" s="31">
        <f>A52+100</f>
        <v>1048</v>
      </c>
      <c r="B54" s="32">
        <v>0</v>
      </c>
      <c r="C54" s="31" t="s">
        <v>178</v>
      </c>
      <c r="D54" s="31" t="s">
        <v>9</v>
      </c>
      <c r="E54" s="32" t="s">
        <v>179</v>
      </c>
      <c r="F54" s="1"/>
      <c r="G54" s="32">
        <f>G45+100</f>
        <v>426</v>
      </c>
      <c r="H54" s="32">
        <v>0</v>
      </c>
      <c r="I54" s="32" t="s">
        <v>184</v>
      </c>
      <c r="J54" s="31"/>
      <c r="K54" s="32"/>
    </row>
    <row r="55" spans="1:16">
      <c r="A55" s="32"/>
      <c r="B55" s="32" t="s">
        <v>180</v>
      </c>
      <c r="C55" s="32"/>
      <c r="D55" s="32"/>
      <c r="E55" s="32"/>
      <c r="F55" s="1"/>
      <c r="G55" s="32"/>
      <c r="H55" s="32">
        <v>1</v>
      </c>
      <c r="I55" s="32" t="s">
        <v>185</v>
      </c>
      <c r="J55" s="32"/>
      <c r="K55" s="32"/>
    </row>
    <row r="56" spans="1:16">
      <c r="A56" s="31">
        <f>A54+2</f>
        <v>1050</v>
      </c>
      <c r="B56" s="32"/>
      <c r="C56" s="31" t="s">
        <v>247</v>
      </c>
      <c r="D56" s="32" t="s">
        <v>181</v>
      </c>
      <c r="E56" s="32" t="s">
        <v>247</v>
      </c>
      <c r="F56" s="1"/>
      <c r="G56" s="32"/>
      <c r="H56" s="32">
        <v>2</v>
      </c>
      <c r="I56" s="32" t="s">
        <v>186</v>
      </c>
      <c r="J56" s="32"/>
      <c r="K56" s="32"/>
    </row>
    <row r="57" spans="1:16">
      <c r="A57" s="32">
        <f>A56+80</f>
        <v>1130</v>
      </c>
      <c r="B57" s="32"/>
      <c r="C57" s="32" t="s">
        <v>170</v>
      </c>
      <c r="D57" s="32"/>
      <c r="E57" s="32"/>
      <c r="F57" s="1"/>
      <c r="G57" s="32"/>
      <c r="H57" s="32" t="s">
        <v>180</v>
      </c>
      <c r="I57" s="32"/>
      <c r="J57" s="32"/>
      <c r="K57" s="32"/>
    </row>
    <row r="58" spans="1:16">
      <c r="A58" s="32"/>
      <c r="B58" s="32"/>
      <c r="C58" s="32"/>
      <c r="D58" s="32"/>
      <c r="E58" s="32"/>
      <c r="F58" s="1"/>
      <c r="G58" s="32">
        <f>G54+2</f>
        <v>428</v>
      </c>
      <c r="H58" s="32"/>
      <c r="I58" s="32" t="s">
        <v>187</v>
      </c>
      <c r="J58" s="32" t="s">
        <v>40</v>
      </c>
      <c r="K58" s="32"/>
    </row>
    <row r="59" spans="1:16">
      <c r="A59" s="32"/>
      <c r="B59" s="32"/>
      <c r="C59" s="32"/>
      <c r="D59" s="32"/>
      <c r="E59" s="32"/>
      <c r="F59" s="1"/>
      <c r="G59" s="32">
        <f>G58+2</f>
        <v>430</v>
      </c>
      <c r="H59" s="32"/>
      <c r="I59" s="32"/>
      <c r="J59" s="32"/>
      <c r="K59" s="32" t="s">
        <v>248</v>
      </c>
    </row>
    <row r="61" spans="1:16" s="64" customFormat="1">
      <c r="A61" s="66">
        <f>A57+100</f>
        <v>1230</v>
      </c>
      <c r="B61" s="66">
        <v>0</v>
      </c>
      <c r="C61" s="66" t="s">
        <v>260</v>
      </c>
      <c r="D61" s="66" t="s">
        <v>228</v>
      </c>
      <c r="E61" s="66" t="s">
        <v>259</v>
      </c>
      <c r="F61" s="63"/>
      <c r="G61" s="66">
        <f>G59+100</f>
        <v>530</v>
      </c>
      <c r="H61" s="66">
        <v>0</v>
      </c>
      <c r="I61" s="66" t="s">
        <v>270</v>
      </c>
      <c r="J61" s="66" t="s">
        <v>228</v>
      </c>
      <c r="K61" s="66"/>
    </row>
    <row r="62" spans="1:16" s="64" customFormat="1">
      <c r="A62" s="66"/>
      <c r="B62" s="66" t="s">
        <v>180</v>
      </c>
      <c r="C62" s="66"/>
      <c r="D62" s="66"/>
      <c r="E62" s="66"/>
      <c r="F62" s="63"/>
      <c r="G62" s="66"/>
      <c r="H62" s="66">
        <v>1</v>
      </c>
      <c r="I62" s="66" t="s">
        <v>271</v>
      </c>
      <c r="J62" s="66" t="s">
        <v>228</v>
      </c>
      <c r="K62" s="66"/>
    </row>
    <row r="63" spans="1:16" s="64" customFormat="1">
      <c r="A63" s="66">
        <f>A61+2</f>
        <v>1232</v>
      </c>
      <c r="B63" s="66"/>
      <c r="C63" s="66" t="s">
        <v>261</v>
      </c>
      <c r="D63" s="66" t="s">
        <v>40</v>
      </c>
      <c r="E63" s="66"/>
      <c r="F63" s="63"/>
      <c r="G63" s="66"/>
      <c r="H63" s="66">
        <v>2</v>
      </c>
      <c r="I63" s="66" t="s">
        <v>272</v>
      </c>
      <c r="J63" s="66" t="s">
        <v>228</v>
      </c>
      <c r="K63" s="66"/>
    </row>
    <row r="64" spans="1:16" s="64" customFormat="1">
      <c r="A64" s="66">
        <f t="shared" ref="A64:A68" si="1">A63+2</f>
        <v>1234</v>
      </c>
      <c r="B64" s="66"/>
      <c r="C64" s="66" t="s">
        <v>262</v>
      </c>
      <c r="D64" s="66" t="s">
        <v>40</v>
      </c>
      <c r="E64" s="66"/>
      <c r="F64" s="63"/>
      <c r="G64" s="66"/>
      <c r="H64" s="66" t="s">
        <v>180</v>
      </c>
      <c r="I64" s="66"/>
      <c r="J64" s="66"/>
      <c r="K64" s="66"/>
    </row>
    <row r="65" spans="1:11" s="64" customFormat="1">
      <c r="A65" s="66">
        <f t="shared" si="1"/>
        <v>1236</v>
      </c>
      <c r="B65" s="66"/>
      <c r="C65" s="66" t="s">
        <v>263</v>
      </c>
      <c r="D65" s="66" t="s">
        <v>40</v>
      </c>
      <c r="E65" s="66"/>
      <c r="F65" s="63"/>
      <c r="G65" s="66">
        <f>G61+2</f>
        <v>532</v>
      </c>
      <c r="H65" s="66"/>
      <c r="I65" s="66" t="s">
        <v>187</v>
      </c>
      <c r="J65" s="66" t="s">
        <v>239</v>
      </c>
      <c r="K65" s="66"/>
    </row>
    <row r="66" spans="1:11" s="64" customFormat="1">
      <c r="A66" s="66">
        <f t="shared" si="1"/>
        <v>1238</v>
      </c>
      <c r="B66" s="66"/>
      <c r="C66" s="66" t="s">
        <v>264</v>
      </c>
      <c r="D66" s="66" t="s">
        <v>40</v>
      </c>
      <c r="E66" s="66"/>
      <c r="F66" s="63"/>
      <c r="G66" s="66">
        <f>G65+2</f>
        <v>534</v>
      </c>
      <c r="H66" s="66"/>
      <c r="I66" s="66"/>
      <c r="J66" s="66"/>
      <c r="K66" s="66"/>
    </row>
    <row r="67" spans="1:11" s="64" customFormat="1">
      <c r="A67" s="66">
        <f t="shared" si="1"/>
        <v>1240</v>
      </c>
      <c r="B67" s="66"/>
      <c r="C67" s="66" t="s">
        <v>265</v>
      </c>
      <c r="D67" s="66" t="s">
        <v>40</v>
      </c>
      <c r="E67" s="66"/>
      <c r="F67" s="63"/>
      <c r="G67" s="66"/>
      <c r="H67" s="66"/>
      <c r="I67" s="66"/>
      <c r="J67" s="66"/>
      <c r="K67" s="66"/>
    </row>
    <row r="68" spans="1:11" s="64" customFormat="1">
      <c r="A68" s="66">
        <f t="shared" si="1"/>
        <v>1242</v>
      </c>
      <c r="B68" s="66"/>
      <c r="C68" s="66" t="s">
        <v>266</v>
      </c>
      <c r="D68" s="66" t="s">
        <v>40</v>
      </c>
      <c r="E68" s="66"/>
      <c r="F68" s="63"/>
      <c r="G68" s="66"/>
      <c r="H68" s="66"/>
      <c r="I68" s="66"/>
      <c r="J68" s="66"/>
      <c r="K68" s="66"/>
    </row>
    <row r="69" spans="1:11" s="64" customFormat="1">
      <c r="A69" s="66">
        <f>A68+2</f>
        <v>1244</v>
      </c>
      <c r="B69" s="66"/>
      <c r="C69" s="66" t="s">
        <v>267</v>
      </c>
      <c r="D69" s="66" t="s">
        <v>269</v>
      </c>
      <c r="E69" s="66"/>
      <c r="F69" s="63"/>
      <c r="G69" s="66"/>
      <c r="H69" s="66"/>
      <c r="I69" s="66"/>
      <c r="J69" s="66"/>
      <c r="K69" s="66"/>
    </row>
    <row r="70" spans="1:11" s="64" customFormat="1">
      <c r="A70" s="66">
        <f>A69+120</f>
        <v>1364</v>
      </c>
      <c r="B70" s="66"/>
      <c r="C70" s="66" t="s">
        <v>21</v>
      </c>
      <c r="D70" s="66"/>
      <c r="E70" s="66"/>
      <c r="F70" s="63"/>
      <c r="G70" s="66"/>
      <c r="H70" s="66"/>
      <c r="I70" s="66"/>
      <c r="J70" s="66"/>
      <c r="K70" s="66"/>
    </row>
    <row r="72" spans="1:11" s="65" customFormat="1">
      <c r="A72" s="67">
        <f>A70+100</f>
        <v>1464</v>
      </c>
      <c r="B72" s="67">
        <v>0</v>
      </c>
      <c r="C72" s="67" t="s">
        <v>249</v>
      </c>
      <c r="D72" s="67" t="s">
        <v>250</v>
      </c>
      <c r="E72" s="67" t="s">
        <v>259</v>
      </c>
      <c r="G72" s="67">
        <f>G66+100</f>
        <v>634</v>
      </c>
      <c r="H72" s="67">
        <v>0</v>
      </c>
      <c r="I72" s="67" t="s">
        <v>252</v>
      </c>
      <c r="J72" s="67" t="s">
        <v>255</v>
      </c>
      <c r="K72" s="67"/>
    </row>
    <row r="73" spans="1:11" s="65" customFormat="1">
      <c r="A73" s="67"/>
      <c r="B73" s="67" t="s">
        <v>251</v>
      </c>
      <c r="C73" s="67"/>
      <c r="D73" s="67"/>
      <c r="E73" s="67"/>
      <c r="G73" s="67"/>
      <c r="H73" s="67">
        <v>1</v>
      </c>
      <c r="I73" s="67" t="s">
        <v>253</v>
      </c>
      <c r="J73" s="67" t="s">
        <v>255</v>
      </c>
      <c r="K73" s="67"/>
    </row>
    <row r="74" spans="1:11" s="65" customFormat="1">
      <c r="A74" s="67">
        <f>A72+2</f>
        <v>1466</v>
      </c>
      <c r="B74" s="67"/>
      <c r="C74" s="67" t="s">
        <v>39</v>
      </c>
      <c r="D74" s="67" t="s">
        <v>40</v>
      </c>
      <c r="E74" s="67"/>
      <c r="G74" s="67"/>
      <c r="H74" s="67">
        <v>2</v>
      </c>
      <c r="I74" s="67" t="s">
        <v>254</v>
      </c>
      <c r="J74" s="67" t="s">
        <v>255</v>
      </c>
      <c r="K74" s="67"/>
    </row>
    <row r="75" spans="1:11" s="65" customFormat="1">
      <c r="A75" s="67">
        <f>A74+2</f>
        <v>1468</v>
      </c>
      <c r="B75" s="67"/>
      <c r="C75" s="67" t="s">
        <v>42</v>
      </c>
      <c r="D75" s="67" t="s">
        <v>43</v>
      </c>
      <c r="E75" s="67"/>
      <c r="G75" s="67"/>
      <c r="H75" s="67" t="s">
        <v>251</v>
      </c>
      <c r="I75" s="67"/>
      <c r="J75" s="67"/>
      <c r="K75" s="67"/>
    </row>
    <row r="76" spans="1:11" s="65" customFormat="1">
      <c r="A76" s="67">
        <f>A75+42</f>
        <v>1510</v>
      </c>
      <c r="B76" s="67"/>
      <c r="C76" s="67" t="s">
        <v>57</v>
      </c>
      <c r="D76" s="67" t="s">
        <v>40</v>
      </c>
      <c r="E76" s="67"/>
      <c r="G76" s="67">
        <f>G72+2</f>
        <v>636</v>
      </c>
      <c r="H76" s="67"/>
      <c r="I76" s="67" t="s">
        <v>256</v>
      </c>
      <c r="J76" s="67" t="s">
        <v>257</v>
      </c>
      <c r="K76" s="67"/>
    </row>
    <row r="77" spans="1:11" s="65" customFormat="1">
      <c r="A77" s="67">
        <f t="shared" ref="A75:A81" si="2">A76+2</f>
        <v>1512</v>
      </c>
      <c r="B77" s="67"/>
      <c r="C77" s="67" t="s">
        <v>59</v>
      </c>
      <c r="D77" s="67" t="s">
        <v>40</v>
      </c>
      <c r="E77" s="67"/>
      <c r="G77" s="67">
        <f>G76+2</f>
        <v>638</v>
      </c>
      <c r="H77" s="67"/>
      <c r="I77" s="67"/>
      <c r="J77" s="67"/>
      <c r="K77" s="67"/>
    </row>
    <row r="78" spans="1:11" s="65" customFormat="1">
      <c r="A78" s="67">
        <f t="shared" si="2"/>
        <v>1514</v>
      </c>
      <c r="B78" s="67"/>
      <c r="C78" s="67" t="s">
        <v>61</v>
      </c>
      <c r="D78" s="67" t="s">
        <v>40</v>
      </c>
      <c r="E78" s="67"/>
      <c r="G78" s="67"/>
      <c r="H78" s="67"/>
      <c r="I78" s="67"/>
      <c r="J78" s="67"/>
      <c r="K78" s="67"/>
    </row>
    <row r="79" spans="1:11" s="65" customFormat="1">
      <c r="A79" s="67">
        <f t="shared" si="2"/>
        <v>1516</v>
      </c>
      <c r="B79" s="67"/>
      <c r="C79" s="67" t="s">
        <v>62</v>
      </c>
      <c r="D79" s="67" t="s">
        <v>40</v>
      </c>
      <c r="E79" s="67"/>
      <c r="G79" s="67"/>
      <c r="H79" s="67"/>
      <c r="I79" s="67"/>
      <c r="J79" s="67"/>
      <c r="K79" s="67"/>
    </row>
    <row r="80" spans="1:11" s="65" customFormat="1">
      <c r="A80" s="67">
        <f t="shared" si="2"/>
        <v>1518</v>
      </c>
      <c r="B80" s="67"/>
      <c r="C80" s="67" t="s">
        <v>63</v>
      </c>
      <c r="D80" s="67" t="s">
        <v>40</v>
      </c>
      <c r="E80" s="67"/>
      <c r="G80" s="67"/>
      <c r="H80" s="67"/>
      <c r="I80" s="67"/>
      <c r="J80" s="67"/>
      <c r="K80" s="67"/>
    </row>
    <row r="81" spans="1:11" s="65" customFormat="1">
      <c r="A81" s="67">
        <f t="shared" si="2"/>
        <v>1520</v>
      </c>
      <c r="B81" s="67"/>
      <c r="C81" s="67" t="s">
        <v>64</v>
      </c>
      <c r="D81" s="67" t="s">
        <v>40</v>
      </c>
      <c r="E81" s="67"/>
      <c r="G81" s="67"/>
      <c r="H81" s="67"/>
      <c r="I81" s="67"/>
      <c r="J81" s="67"/>
      <c r="K81" s="67"/>
    </row>
    <row r="82" spans="1:11" s="65" customFormat="1">
      <c r="A82" s="67">
        <f>A81+2</f>
        <v>1522</v>
      </c>
      <c r="B82" s="67"/>
      <c r="C82" s="67"/>
      <c r="D82" s="67"/>
      <c r="E82" s="67" t="s">
        <v>248</v>
      </c>
      <c r="G82" s="67"/>
      <c r="H82" s="67"/>
      <c r="I82" s="67"/>
      <c r="J82" s="67"/>
      <c r="K82" s="67"/>
    </row>
  </sheetData>
  <mergeCells count="5">
    <mergeCell ref="A3:E3"/>
    <mergeCell ref="G3:K3"/>
    <mergeCell ref="A25:E25"/>
    <mergeCell ref="G25:K25"/>
    <mergeCell ref="M5:P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opLeftCell="A37" workbookViewId="0">
      <selection activeCell="I40" sqref="I40"/>
    </sheetView>
  </sheetViews>
  <sheetFormatPr defaultRowHeight="14.25"/>
  <cols>
    <col min="3" max="3" width="19.25" bestFit="1" customWidth="1"/>
    <col min="4" max="4" width="10.625" bestFit="1" customWidth="1"/>
    <col min="5" max="5" width="55.375" bestFit="1" customWidth="1"/>
    <col min="8" max="8" width="4.5" bestFit="1" customWidth="1"/>
    <col min="9" max="9" width="19.25" bestFit="1" customWidth="1"/>
    <col min="11" max="11" width="39.875" bestFit="1" customWidth="1"/>
    <col min="14" max="14" width="26.125" bestFit="1" customWidth="1"/>
    <col min="16" max="16" width="10.625" bestFit="1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>
      <c r="A2" s="1" t="s">
        <v>1</v>
      </c>
      <c r="B2" s="17">
        <v>200</v>
      </c>
      <c r="C2" s="1"/>
      <c r="D2" s="1"/>
      <c r="E2" s="1"/>
      <c r="F2" s="1"/>
      <c r="G2" s="1" t="s">
        <v>191</v>
      </c>
      <c r="H2" s="1">
        <v>201</v>
      </c>
      <c r="I2" s="1"/>
      <c r="J2" s="1"/>
      <c r="K2" s="1"/>
    </row>
    <row r="3" spans="1:16">
      <c r="A3" s="51" t="s">
        <v>2</v>
      </c>
      <c r="B3" s="51"/>
      <c r="C3" s="51"/>
      <c r="D3" s="51"/>
      <c r="E3" s="51"/>
      <c r="F3" s="1"/>
      <c r="G3" s="51" t="s">
        <v>3</v>
      </c>
      <c r="H3" s="51"/>
      <c r="I3" s="51"/>
      <c r="J3" s="51"/>
      <c r="K3" s="51"/>
    </row>
    <row r="4" spans="1:16">
      <c r="A4" s="2" t="s">
        <v>4</v>
      </c>
      <c r="B4" s="1"/>
      <c r="C4" s="2" t="s">
        <v>5</v>
      </c>
      <c r="D4" s="2" t="s">
        <v>6</v>
      </c>
      <c r="E4" s="2" t="s">
        <v>7</v>
      </c>
      <c r="F4" s="1"/>
      <c r="G4" s="2" t="s">
        <v>4</v>
      </c>
      <c r="H4" s="1"/>
      <c r="I4" s="2" t="s">
        <v>7</v>
      </c>
      <c r="J4" s="2" t="s">
        <v>6</v>
      </c>
      <c r="K4" s="2" t="s">
        <v>7</v>
      </c>
    </row>
    <row r="5" spans="1:16">
      <c r="A5" s="3">
        <v>100</v>
      </c>
      <c r="B5" s="18">
        <v>0</v>
      </c>
      <c r="C5" s="3" t="s">
        <v>8</v>
      </c>
      <c r="D5" s="3" t="s">
        <v>9</v>
      </c>
      <c r="E5" s="3"/>
      <c r="F5" s="1"/>
      <c r="G5" s="3">
        <v>100</v>
      </c>
      <c r="H5" s="18">
        <v>0</v>
      </c>
      <c r="I5" s="3" t="s">
        <v>10</v>
      </c>
      <c r="J5" s="3" t="s">
        <v>9</v>
      </c>
      <c r="K5" s="3"/>
      <c r="M5" s="52" t="s">
        <v>85</v>
      </c>
      <c r="N5" s="53"/>
      <c r="O5" s="53"/>
      <c r="P5" s="54"/>
    </row>
    <row r="6" spans="1:16">
      <c r="A6" s="3"/>
      <c r="B6" s="18">
        <v>1</v>
      </c>
      <c r="C6" s="3" t="s">
        <v>11</v>
      </c>
      <c r="D6" s="3" t="s">
        <v>9</v>
      </c>
      <c r="E6" s="3"/>
      <c r="F6" s="1"/>
      <c r="G6" s="3"/>
      <c r="H6" s="18">
        <v>1</v>
      </c>
      <c r="I6" s="3" t="s">
        <v>12</v>
      </c>
      <c r="J6" s="3" t="s">
        <v>9</v>
      </c>
      <c r="K6" s="3"/>
      <c r="M6" s="34" t="s">
        <v>86</v>
      </c>
      <c r="N6" s="6" t="s">
        <v>5</v>
      </c>
      <c r="O6" s="6" t="s">
        <v>87</v>
      </c>
      <c r="P6" s="6" t="s">
        <v>7</v>
      </c>
    </row>
    <row r="7" spans="1:16">
      <c r="A7" s="3"/>
      <c r="B7" s="18">
        <v>2</v>
      </c>
      <c r="C7" s="3" t="s">
        <v>13</v>
      </c>
      <c r="D7" s="3" t="s">
        <v>9</v>
      </c>
      <c r="E7" s="3"/>
      <c r="F7" s="1"/>
      <c r="G7" s="3"/>
      <c r="H7" s="18">
        <v>2</v>
      </c>
      <c r="I7" s="3" t="s">
        <v>14</v>
      </c>
      <c r="J7" s="3" t="s">
        <v>9</v>
      </c>
      <c r="K7" s="3"/>
      <c r="M7" s="10">
        <v>0</v>
      </c>
      <c r="N7" s="10" t="s">
        <v>88</v>
      </c>
      <c r="O7" s="10" t="s">
        <v>43</v>
      </c>
      <c r="P7" s="10"/>
    </row>
    <row r="8" spans="1:16">
      <c r="A8" s="3"/>
      <c r="B8" s="18">
        <v>3</v>
      </c>
      <c r="C8" s="3" t="s">
        <v>15</v>
      </c>
      <c r="D8" s="3" t="s">
        <v>9</v>
      </c>
      <c r="E8" s="3"/>
      <c r="F8" s="1"/>
      <c r="G8" s="3"/>
      <c r="H8" s="18">
        <v>3</v>
      </c>
      <c r="I8" s="3" t="s">
        <v>16</v>
      </c>
      <c r="J8" s="3" t="s">
        <v>9</v>
      </c>
      <c r="K8" s="3"/>
      <c r="M8" s="10">
        <f>M7+42</f>
        <v>42</v>
      </c>
      <c r="N8" s="10" t="s">
        <v>89</v>
      </c>
      <c r="O8" s="10" t="s">
        <v>196</v>
      </c>
      <c r="P8" s="10"/>
    </row>
    <row r="9" spans="1:16">
      <c r="A9" s="3"/>
      <c r="B9" s="18">
        <v>4</v>
      </c>
      <c r="C9" s="3" t="s">
        <v>17</v>
      </c>
      <c r="D9" s="3" t="s">
        <v>9</v>
      </c>
      <c r="E9" s="3"/>
      <c r="F9" s="1"/>
      <c r="G9" s="3"/>
      <c r="H9" s="18">
        <v>4</v>
      </c>
      <c r="I9" s="3" t="s">
        <v>18</v>
      </c>
      <c r="J9" s="3" t="s">
        <v>9</v>
      </c>
      <c r="K9" s="3"/>
      <c r="M9" s="10">
        <f t="shared" ref="M9:M14" si="0">M8+4</f>
        <v>46</v>
      </c>
      <c r="N9" s="10" t="s">
        <v>90</v>
      </c>
      <c r="O9" s="10" t="s">
        <v>117</v>
      </c>
      <c r="P9" s="10"/>
    </row>
    <row r="10" spans="1:16">
      <c r="A10" s="3"/>
      <c r="B10" s="18">
        <v>5</v>
      </c>
      <c r="C10" s="3" t="s">
        <v>19</v>
      </c>
      <c r="D10" s="3" t="s">
        <v>9</v>
      </c>
      <c r="E10" s="3"/>
      <c r="F10" s="1"/>
      <c r="G10" s="3"/>
      <c r="H10" s="18">
        <v>5</v>
      </c>
      <c r="I10" s="3" t="s">
        <v>20</v>
      </c>
      <c r="J10" s="3" t="s">
        <v>9</v>
      </c>
      <c r="K10" s="3"/>
      <c r="M10" s="10">
        <f t="shared" si="0"/>
        <v>50</v>
      </c>
      <c r="N10" s="10" t="s">
        <v>208</v>
      </c>
      <c r="O10" s="10" t="s">
        <v>117</v>
      </c>
      <c r="P10" s="10"/>
    </row>
    <row r="11" spans="1:16">
      <c r="A11" s="3"/>
      <c r="B11" s="18">
        <v>6</v>
      </c>
      <c r="C11" s="3" t="s">
        <v>21</v>
      </c>
      <c r="D11" s="3" t="s">
        <v>9</v>
      </c>
      <c r="E11" s="3"/>
      <c r="F11" s="1"/>
      <c r="G11" s="3"/>
      <c r="H11" s="18" t="s">
        <v>22</v>
      </c>
      <c r="I11" s="3" t="s">
        <v>21</v>
      </c>
      <c r="J11" s="3"/>
      <c r="K11" s="3"/>
      <c r="M11" s="10">
        <f t="shared" si="0"/>
        <v>54</v>
      </c>
      <c r="N11" s="10" t="s">
        <v>207</v>
      </c>
      <c r="O11" s="10" t="s">
        <v>117</v>
      </c>
      <c r="P11" s="10"/>
    </row>
    <row r="12" spans="1:16">
      <c r="A12" s="3"/>
      <c r="B12" s="18">
        <v>7</v>
      </c>
      <c r="C12" s="3" t="s">
        <v>21</v>
      </c>
      <c r="D12" s="3" t="s">
        <v>9</v>
      </c>
      <c r="E12" s="3"/>
      <c r="F12" s="1"/>
      <c r="G12" s="3"/>
      <c r="H12" s="18" t="s">
        <v>33</v>
      </c>
      <c r="I12" s="3" t="s">
        <v>21</v>
      </c>
      <c r="J12" s="3" t="s">
        <v>9</v>
      </c>
      <c r="K12" s="3"/>
      <c r="M12" s="10">
        <f t="shared" si="0"/>
        <v>58</v>
      </c>
      <c r="N12" s="10" t="s">
        <v>209</v>
      </c>
      <c r="O12" s="10" t="s">
        <v>117</v>
      </c>
      <c r="P12" s="10"/>
    </row>
    <row r="13" spans="1:16">
      <c r="A13" s="3"/>
      <c r="B13" s="18" t="s">
        <v>22</v>
      </c>
      <c r="C13" s="3"/>
      <c r="D13" s="3"/>
      <c r="E13" s="3"/>
      <c r="F13" s="1"/>
      <c r="G13" s="3"/>
      <c r="H13" s="18" t="s">
        <v>22</v>
      </c>
      <c r="I13" s="3" t="s">
        <v>21</v>
      </c>
      <c r="J13" s="3"/>
      <c r="K13" s="3"/>
      <c r="M13" s="10">
        <f t="shared" si="0"/>
        <v>62</v>
      </c>
      <c r="N13" s="10" t="s">
        <v>210</v>
      </c>
      <c r="O13" s="10" t="s">
        <v>117</v>
      </c>
      <c r="P13" s="10"/>
    </row>
    <row r="14" spans="1:16">
      <c r="A14" s="3"/>
      <c r="B14" s="18">
        <v>15</v>
      </c>
      <c r="C14" s="3" t="s">
        <v>23</v>
      </c>
      <c r="D14" s="3" t="s">
        <v>9</v>
      </c>
      <c r="E14" s="3"/>
      <c r="F14" s="1"/>
      <c r="G14" s="3"/>
      <c r="H14" s="18">
        <v>15</v>
      </c>
      <c r="I14" s="3" t="s">
        <v>24</v>
      </c>
      <c r="J14" s="3"/>
      <c r="K14" s="3"/>
      <c r="M14" s="10">
        <f t="shared" si="0"/>
        <v>66</v>
      </c>
      <c r="N14" s="30" t="s">
        <v>211</v>
      </c>
      <c r="O14" s="10" t="s">
        <v>212</v>
      </c>
      <c r="P14" s="10"/>
    </row>
    <row r="15" spans="1:16">
      <c r="A15" s="4">
        <f>A5+2</f>
        <v>102</v>
      </c>
      <c r="B15" s="19">
        <v>0</v>
      </c>
      <c r="C15" s="4" t="s">
        <v>25</v>
      </c>
      <c r="D15" s="4" t="s">
        <v>9</v>
      </c>
      <c r="E15" s="4"/>
      <c r="F15" s="1"/>
      <c r="G15" s="3">
        <f>G5+2</f>
        <v>102</v>
      </c>
      <c r="H15" s="18"/>
      <c r="I15" s="3"/>
      <c r="J15" s="3"/>
      <c r="K15" s="3"/>
      <c r="M15" s="10">
        <f>M14+42</f>
        <v>108</v>
      </c>
      <c r="N15" s="10"/>
      <c r="O15" s="10" t="s">
        <v>213</v>
      </c>
      <c r="P15" s="10" t="s">
        <v>170</v>
      </c>
    </row>
    <row r="16" spans="1:16">
      <c r="A16" s="4"/>
      <c r="B16" s="19">
        <v>1</v>
      </c>
      <c r="C16" s="4" t="s">
        <v>26</v>
      </c>
      <c r="D16" s="4" t="s">
        <v>9</v>
      </c>
      <c r="E16" s="4"/>
      <c r="F16" s="1"/>
      <c r="G16" s="3"/>
      <c r="H16" s="18"/>
      <c r="I16" s="3"/>
      <c r="J16" s="3"/>
      <c r="K16" s="3"/>
      <c r="M16" s="10">
        <f>M15+92</f>
        <v>200</v>
      </c>
      <c r="N16" s="10"/>
      <c r="O16" s="10"/>
      <c r="P16" s="10"/>
    </row>
    <row r="17" spans="1:11">
      <c r="A17" s="4"/>
      <c r="B17" s="19">
        <v>2</v>
      </c>
      <c r="C17" s="4" t="s">
        <v>27</v>
      </c>
      <c r="D17" s="4" t="s">
        <v>9</v>
      </c>
      <c r="E17" s="4"/>
      <c r="F17" s="1"/>
      <c r="G17" s="3"/>
      <c r="H17" s="18"/>
      <c r="I17" s="3"/>
      <c r="J17" s="3"/>
      <c r="K17" s="3"/>
    </row>
    <row r="18" spans="1:11">
      <c r="A18" s="4"/>
      <c r="B18" s="19">
        <v>3</v>
      </c>
      <c r="C18" s="4" t="s">
        <v>28</v>
      </c>
      <c r="D18" s="4" t="s">
        <v>9</v>
      </c>
      <c r="E18" s="4"/>
      <c r="F18" s="1"/>
      <c r="G18" s="3"/>
      <c r="H18" s="18"/>
      <c r="I18" s="3"/>
      <c r="J18" s="3"/>
      <c r="K18" s="3"/>
    </row>
    <row r="19" spans="1:11">
      <c r="A19" s="4"/>
      <c r="B19" s="19">
        <v>4</v>
      </c>
      <c r="C19" s="4" t="s">
        <v>29</v>
      </c>
      <c r="D19" s="4" t="s">
        <v>9</v>
      </c>
      <c r="E19" s="4"/>
      <c r="F19" s="1"/>
      <c r="G19" s="3"/>
      <c r="H19" s="18"/>
      <c r="I19" s="3"/>
      <c r="J19" s="3"/>
      <c r="K19" s="3"/>
    </row>
    <row r="20" spans="1:11">
      <c r="A20" s="4"/>
      <c r="B20" s="19">
        <v>5</v>
      </c>
      <c r="C20" s="4" t="s">
        <v>30</v>
      </c>
      <c r="D20" s="4" t="s">
        <v>9</v>
      </c>
      <c r="E20" s="4"/>
      <c r="F20" s="1"/>
      <c r="G20" s="3"/>
      <c r="H20" s="18"/>
      <c r="I20" s="3"/>
      <c r="J20" s="3"/>
      <c r="K20" s="3"/>
    </row>
    <row r="21" spans="1:11">
      <c r="A21" s="4"/>
      <c r="B21" s="19">
        <v>6</v>
      </c>
      <c r="C21" s="4" t="s">
        <v>31</v>
      </c>
      <c r="D21" s="4" t="s">
        <v>9</v>
      </c>
      <c r="E21" s="4"/>
      <c r="F21" s="1"/>
      <c r="G21" s="3"/>
      <c r="H21" s="18"/>
      <c r="I21" s="3"/>
      <c r="J21" s="3"/>
      <c r="K21" s="3"/>
    </row>
    <row r="22" spans="1:11">
      <c r="A22" s="4"/>
      <c r="B22" s="19">
        <v>7</v>
      </c>
      <c r="C22" s="4" t="s">
        <v>32</v>
      </c>
      <c r="D22" s="4" t="s">
        <v>9</v>
      </c>
      <c r="E22" s="4"/>
      <c r="F22" s="1"/>
      <c r="G22" s="3"/>
      <c r="H22" s="18"/>
      <c r="I22" s="3"/>
      <c r="J22" s="3"/>
      <c r="K22" s="3"/>
    </row>
    <row r="23" spans="1:11">
      <c r="A23" s="4"/>
      <c r="B23" s="19" t="s">
        <v>33</v>
      </c>
      <c r="C23" s="4" t="s">
        <v>21</v>
      </c>
      <c r="D23" s="4"/>
      <c r="E23" s="4"/>
      <c r="F23" s="1"/>
      <c r="G23" s="3"/>
      <c r="H23" s="18"/>
      <c r="I23" s="3"/>
      <c r="J23" s="3"/>
      <c r="K23" s="3"/>
    </row>
    <row r="24" spans="1:11">
      <c r="A24" s="4"/>
      <c r="B24" s="19">
        <v>15</v>
      </c>
      <c r="C24" s="4"/>
      <c r="D24" s="4" t="s">
        <v>9</v>
      </c>
      <c r="E24" s="4"/>
      <c r="F24" s="1"/>
      <c r="G24" s="3"/>
      <c r="H24" s="18"/>
      <c r="I24" s="3"/>
      <c r="J24" s="3"/>
      <c r="K24" s="3"/>
    </row>
    <row r="25" spans="1:11">
      <c r="A25" s="55" t="s">
        <v>34</v>
      </c>
      <c r="B25" s="55"/>
      <c r="C25" s="55"/>
      <c r="D25" s="55"/>
      <c r="E25" s="55"/>
      <c r="F25" s="1"/>
      <c r="G25" s="53" t="s">
        <v>34</v>
      </c>
      <c r="H25" s="53"/>
      <c r="I25" s="53"/>
      <c r="J25" s="53"/>
      <c r="K25" s="53"/>
    </row>
    <row r="26" spans="1:11">
      <c r="A26" s="22">
        <f>A15+12</f>
        <v>114</v>
      </c>
      <c r="B26" s="23">
        <v>0</v>
      </c>
      <c r="C26" s="22" t="s">
        <v>68</v>
      </c>
      <c r="D26" s="22" t="s">
        <v>9</v>
      </c>
      <c r="E26" s="22" t="s">
        <v>69</v>
      </c>
      <c r="F26" s="1"/>
      <c r="G26" s="22">
        <f>G15+12</f>
        <v>114</v>
      </c>
      <c r="H26" s="23">
        <v>0</v>
      </c>
      <c r="I26" s="22" t="s">
        <v>70</v>
      </c>
      <c r="J26" s="22" t="s">
        <v>9</v>
      </c>
      <c r="K26" s="22"/>
    </row>
    <row r="27" spans="1:11">
      <c r="A27" s="22"/>
      <c r="B27" s="23" t="s">
        <v>33</v>
      </c>
      <c r="C27" s="22"/>
      <c r="D27" s="22"/>
      <c r="E27" s="22"/>
      <c r="F27" s="1"/>
      <c r="G27" s="22"/>
      <c r="H27" s="23">
        <v>1</v>
      </c>
      <c r="I27" s="22" t="s">
        <v>71</v>
      </c>
      <c r="J27" s="22" t="s">
        <v>9</v>
      </c>
      <c r="K27" s="22"/>
    </row>
    <row r="28" spans="1:11">
      <c r="A28" s="22">
        <f>A26+2</f>
        <v>116</v>
      </c>
      <c r="B28" s="23"/>
      <c r="C28" s="22" t="s">
        <v>72</v>
      </c>
      <c r="D28" s="22" t="s">
        <v>43</v>
      </c>
      <c r="E28" s="22" t="s">
        <v>73</v>
      </c>
      <c r="F28" s="1"/>
      <c r="G28" s="22"/>
      <c r="H28" s="23">
        <v>2</v>
      </c>
      <c r="I28" s="22" t="s">
        <v>74</v>
      </c>
      <c r="J28" s="22" t="s">
        <v>9</v>
      </c>
      <c r="K28" s="22"/>
    </row>
    <row r="29" spans="1:11">
      <c r="A29" s="22">
        <f>A28+42</f>
        <v>158</v>
      </c>
      <c r="B29" s="23"/>
      <c r="C29" s="22" t="s">
        <v>21</v>
      </c>
      <c r="D29" s="22"/>
      <c r="E29" s="22"/>
      <c r="F29" s="1"/>
      <c r="G29" s="22"/>
      <c r="H29" s="23" t="s">
        <v>33</v>
      </c>
      <c r="I29" s="22"/>
      <c r="J29" s="22"/>
      <c r="K29" s="22"/>
    </row>
    <row r="30" spans="1:11">
      <c r="A30" s="22"/>
      <c r="B30" s="23"/>
      <c r="C30" s="22"/>
      <c r="D30" s="22"/>
      <c r="E30" s="22"/>
      <c r="F30" s="1"/>
      <c r="G30" s="22">
        <f>G26+2</f>
        <v>116</v>
      </c>
      <c r="H30" s="23"/>
      <c r="I30" s="22" t="s">
        <v>44</v>
      </c>
      <c r="J30" s="22" t="s">
        <v>40</v>
      </c>
      <c r="K30" s="22"/>
    </row>
    <row r="31" spans="1:11">
      <c r="A31" s="22"/>
      <c r="B31" s="22"/>
      <c r="C31" s="22"/>
      <c r="D31" s="22"/>
      <c r="E31" s="22"/>
      <c r="F31" s="1"/>
      <c r="G31" s="22">
        <f>G30+2</f>
        <v>118</v>
      </c>
      <c r="H31" s="23"/>
      <c r="I31" s="22" t="s">
        <v>75</v>
      </c>
      <c r="J31" s="22" t="s">
        <v>40</v>
      </c>
      <c r="K31" s="22"/>
    </row>
    <row r="32" spans="1:11">
      <c r="A32" s="22"/>
      <c r="B32" s="22"/>
      <c r="C32" s="22"/>
      <c r="D32" s="22"/>
      <c r="E32" s="22"/>
      <c r="F32" s="1"/>
      <c r="G32" s="22">
        <f>G31+2</f>
        <v>120</v>
      </c>
      <c r="H32" s="23"/>
      <c r="I32" s="22" t="s">
        <v>76</v>
      </c>
      <c r="J32" s="22" t="s">
        <v>43</v>
      </c>
      <c r="K32" s="22"/>
    </row>
    <row r="33" spans="1:11">
      <c r="A33" s="22"/>
      <c r="B33" s="22"/>
      <c r="C33" s="22"/>
      <c r="D33" s="22"/>
      <c r="E33" s="22"/>
      <c r="F33" s="1"/>
      <c r="G33" s="22">
        <f>G32+40</f>
        <v>160</v>
      </c>
      <c r="H33" s="23"/>
      <c r="I33" s="22" t="s">
        <v>21</v>
      </c>
      <c r="J33" s="22"/>
      <c r="K33" s="22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20">
        <f>A29+100</f>
        <v>258</v>
      </c>
      <c r="B35" s="21">
        <v>0</v>
      </c>
      <c r="C35" s="20" t="s">
        <v>77</v>
      </c>
      <c r="D35" s="20" t="s">
        <v>9</v>
      </c>
      <c r="E35" s="20" t="s">
        <v>78</v>
      </c>
      <c r="F35" s="1"/>
      <c r="G35" s="20">
        <f>G33+100</f>
        <v>260</v>
      </c>
      <c r="H35" s="21">
        <v>0</v>
      </c>
      <c r="I35" s="20" t="s">
        <v>79</v>
      </c>
      <c r="J35" s="20" t="s">
        <v>9</v>
      </c>
      <c r="K35" s="20"/>
    </row>
    <row r="36" spans="1:11">
      <c r="A36" s="20"/>
      <c r="B36" s="21" t="s">
        <v>33</v>
      </c>
      <c r="C36" s="20"/>
      <c r="D36" s="20"/>
      <c r="E36" s="20"/>
      <c r="F36" s="1"/>
      <c r="G36" s="20"/>
      <c r="H36" s="21">
        <v>1</v>
      </c>
      <c r="I36" s="20" t="s">
        <v>80</v>
      </c>
      <c r="J36" s="20" t="s">
        <v>9</v>
      </c>
      <c r="K36" s="20"/>
    </row>
    <row r="37" spans="1:11">
      <c r="A37" s="20">
        <f>A35+2</f>
        <v>260</v>
      </c>
      <c r="B37" s="21"/>
      <c r="C37" s="20" t="s">
        <v>39</v>
      </c>
      <c r="D37" s="20" t="s">
        <v>40</v>
      </c>
      <c r="E37" s="20"/>
      <c r="F37" s="1"/>
      <c r="G37" s="20"/>
      <c r="H37" s="21">
        <v>2</v>
      </c>
      <c r="I37" s="20" t="s">
        <v>81</v>
      </c>
      <c r="J37" s="20" t="s">
        <v>9</v>
      </c>
      <c r="K37" s="20"/>
    </row>
    <row r="38" spans="1:11">
      <c r="A38" s="20">
        <f>A37+2</f>
        <v>262</v>
      </c>
      <c r="B38" s="21"/>
      <c r="C38" s="20" t="s">
        <v>42</v>
      </c>
      <c r="D38" s="20" t="s">
        <v>43</v>
      </c>
      <c r="E38" s="20"/>
      <c r="F38" s="1"/>
      <c r="G38" s="20"/>
      <c r="H38" s="21" t="s">
        <v>33</v>
      </c>
      <c r="I38" s="20"/>
      <c r="J38" s="20"/>
      <c r="K38" s="20"/>
    </row>
    <row r="39" spans="1:11">
      <c r="A39" s="20">
        <f>A38+42</f>
        <v>304</v>
      </c>
      <c r="B39" s="21"/>
      <c r="C39" s="20" t="s">
        <v>170</v>
      </c>
      <c r="D39" s="20"/>
      <c r="E39" s="20"/>
      <c r="F39" s="1"/>
      <c r="G39" s="20">
        <f>G35+2</f>
        <v>262</v>
      </c>
      <c r="H39" s="21"/>
      <c r="I39" s="20" t="s">
        <v>44</v>
      </c>
      <c r="J39" s="20" t="s">
        <v>40</v>
      </c>
      <c r="K39" s="20"/>
    </row>
    <row r="40" spans="1:11">
      <c r="A40" s="20"/>
      <c r="B40" s="21"/>
      <c r="C40" s="20"/>
      <c r="D40" s="20"/>
      <c r="E40" s="20"/>
      <c r="F40" s="1"/>
      <c r="G40" s="20">
        <f>G39+2</f>
        <v>264</v>
      </c>
      <c r="H40" s="20"/>
      <c r="I40" s="20" t="s">
        <v>188</v>
      </c>
      <c r="J40" s="20" t="s">
        <v>196</v>
      </c>
      <c r="K40" s="20" t="s">
        <v>189</v>
      </c>
    </row>
    <row r="41" spans="1:11">
      <c r="A41" s="20"/>
      <c r="B41" s="21"/>
      <c r="C41" s="20"/>
      <c r="D41" s="20"/>
      <c r="E41" s="20"/>
      <c r="F41" s="1"/>
      <c r="G41" s="20">
        <f>G40+4</f>
        <v>268</v>
      </c>
      <c r="H41" s="21"/>
      <c r="I41" s="20" t="s">
        <v>170</v>
      </c>
      <c r="J41" s="20"/>
      <c r="K41" s="20"/>
    </row>
    <row r="42" spans="1:11">
      <c r="F42" s="1"/>
    </row>
    <row r="43" spans="1:11" ht="28.5">
      <c r="A43" s="40">
        <f>A39+100</f>
        <v>404</v>
      </c>
      <c r="B43" s="24">
        <v>0</v>
      </c>
      <c r="C43" s="40" t="s">
        <v>223</v>
      </c>
      <c r="D43" s="40" t="s">
        <v>9</v>
      </c>
      <c r="E43" s="41" t="s">
        <v>82</v>
      </c>
      <c r="F43" s="1"/>
      <c r="G43" s="40">
        <f>G41+100</f>
        <v>368</v>
      </c>
      <c r="H43" s="24">
        <v>0</v>
      </c>
      <c r="I43" s="40" t="s">
        <v>224</v>
      </c>
      <c r="J43" s="40" t="s">
        <v>9</v>
      </c>
      <c r="K43" s="40"/>
    </row>
    <row r="44" spans="1:11">
      <c r="A44" s="12"/>
      <c r="B44" s="24" t="s">
        <v>33</v>
      </c>
      <c r="C44" s="12"/>
      <c r="D44" s="12"/>
      <c r="E44" s="12"/>
      <c r="F44" s="1"/>
      <c r="G44" s="12"/>
      <c r="H44" s="24">
        <v>1</v>
      </c>
      <c r="I44" s="12" t="s">
        <v>226</v>
      </c>
      <c r="J44" s="12" t="s">
        <v>9</v>
      </c>
      <c r="K44" s="12"/>
    </row>
    <row r="45" spans="1:11">
      <c r="A45" s="12">
        <f>A43+2</f>
        <v>406</v>
      </c>
      <c r="B45" s="24"/>
      <c r="C45" s="12" t="s">
        <v>39</v>
      </c>
      <c r="D45" s="12" t="s">
        <v>40</v>
      </c>
      <c r="E45" s="12"/>
      <c r="F45" s="1"/>
      <c r="G45" s="12"/>
      <c r="H45" s="24">
        <v>2</v>
      </c>
      <c r="I45" s="12" t="s">
        <v>225</v>
      </c>
      <c r="J45" s="12" t="s">
        <v>9</v>
      </c>
      <c r="K45" s="12"/>
    </row>
    <row r="46" spans="1:11">
      <c r="A46" s="12">
        <f>A45+2</f>
        <v>408</v>
      </c>
      <c r="B46" s="24"/>
      <c r="C46" s="12" t="s">
        <v>42</v>
      </c>
      <c r="D46" s="12" t="s">
        <v>244</v>
      </c>
      <c r="E46" s="12"/>
      <c r="G46" s="12"/>
      <c r="H46" s="24" t="s">
        <v>33</v>
      </c>
      <c r="I46" s="12"/>
      <c r="J46" s="12"/>
      <c r="K46" s="12"/>
    </row>
    <row r="47" spans="1:11" s="43" customFormat="1">
      <c r="A47" s="25">
        <f>A46+42</f>
        <v>450</v>
      </c>
      <c r="B47" s="24"/>
      <c r="C47" s="12" t="s">
        <v>170</v>
      </c>
      <c r="D47" s="12"/>
      <c r="E47" s="12"/>
      <c r="F47" s="42"/>
      <c r="G47" s="12">
        <f>G43+2</f>
        <v>370</v>
      </c>
      <c r="H47" s="24"/>
      <c r="I47" s="12" t="s">
        <v>44</v>
      </c>
      <c r="J47" s="12" t="s">
        <v>40</v>
      </c>
      <c r="K47" s="12"/>
    </row>
    <row r="48" spans="1:11">
      <c r="A48" s="25"/>
      <c r="B48" s="24"/>
      <c r="C48" s="12"/>
      <c r="D48" s="12"/>
      <c r="E48" s="12"/>
      <c r="F48" s="1"/>
      <c r="G48" s="12">
        <f>G47+2</f>
        <v>372</v>
      </c>
      <c r="H48" s="24"/>
      <c r="I48" s="12" t="s">
        <v>21</v>
      </c>
      <c r="J48" s="12"/>
      <c r="K48" s="12"/>
    </row>
    <row r="49" spans="1:11">
      <c r="F49" s="1"/>
    </row>
    <row r="50" spans="1:11">
      <c r="A50" s="48">
        <f>A47+100</f>
        <v>550</v>
      </c>
      <c r="B50" s="48"/>
      <c r="C50" s="49" t="s">
        <v>227</v>
      </c>
      <c r="D50" s="49" t="s">
        <v>228</v>
      </c>
      <c r="E50" s="48"/>
      <c r="G50" s="48">
        <f>G48+100</f>
        <v>472</v>
      </c>
      <c r="H50" s="48"/>
      <c r="I50" s="49" t="s">
        <v>233</v>
      </c>
      <c r="J50" s="48" t="s">
        <v>240</v>
      </c>
      <c r="K50" s="48"/>
    </row>
    <row r="51" spans="1:11">
      <c r="A51" s="48"/>
      <c r="B51" s="50" t="s">
        <v>229</v>
      </c>
      <c r="C51" s="48"/>
      <c r="D51" s="48"/>
      <c r="E51" s="48"/>
      <c r="F51" s="1"/>
      <c r="G51" s="48"/>
      <c r="H51" s="48"/>
      <c r="I51" s="49" t="s">
        <v>234</v>
      </c>
      <c r="J51" s="48" t="s">
        <v>228</v>
      </c>
      <c r="K51" s="48"/>
    </row>
    <row r="52" spans="1:11">
      <c r="A52" s="48">
        <f>A50+2</f>
        <v>552</v>
      </c>
      <c r="B52" s="50"/>
      <c r="C52" s="48" t="s">
        <v>242</v>
      </c>
      <c r="D52" s="48" t="s">
        <v>243</v>
      </c>
      <c r="E52" s="48"/>
      <c r="F52" s="1"/>
      <c r="G52" s="48"/>
      <c r="H52" s="48"/>
      <c r="I52" s="49" t="s">
        <v>235</v>
      </c>
      <c r="J52" s="48" t="s">
        <v>240</v>
      </c>
      <c r="K52" s="48"/>
    </row>
    <row r="53" spans="1:11">
      <c r="A53" s="48">
        <f>A52+2</f>
        <v>554</v>
      </c>
      <c r="B53" s="48"/>
      <c r="C53" s="49" t="s">
        <v>230</v>
      </c>
      <c r="D53" s="48" t="s">
        <v>245</v>
      </c>
      <c r="E53" s="48"/>
      <c r="F53" s="1"/>
      <c r="G53" s="48"/>
      <c r="H53" s="50" t="s">
        <v>236</v>
      </c>
      <c r="I53" s="48"/>
      <c r="J53" s="48"/>
      <c r="K53" s="48"/>
    </row>
    <row r="54" spans="1:11">
      <c r="A54" s="48">
        <f>A53+42</f>
        <v>596</v>
      </c>
      <c r="B54" s="48"/>
      <c r="C54" s="48" t="s">
        <v>231</v>
      </c>
      <c r="D54" s="48" t="s">
        <v>246</v>
      </c>
      <c r="E54" s="48"/>
      <c r="F54" s="1"/>
      <c r="G54" s="48">
        <f>G50+2</f>
        <v>474</v>
      </c>
      <c r="H54" s="48"/>
      <c r="I54" s="49" t="s">
        <v>237</v>
      </c>
      <c r="J54" s="48" t="s">
        <v>239</v>
      </c>
      <c r="K54" s="48"/>
    </row>
    <row r="55" spans="1:11">
      <c r="A55" s="48">
        <f>A54+42</f>
        <v>638</v>
      </c>
      <c r="B55" s="48"/>
      <c r="C55" s="49" t="s">
        <v>232</v>
      </c>
      <c r="D55" s="48" t="s">
        <v>243</v>
      </c>
      <c r="E55" s="48"/>
      <c r="F55" s="1"/>
      <c r="G55" s="48">
        <f>G54+2</f>
        <v>476</v>
      </c>
      <c r="H55" s="48"/>
      <c r="I55" s="49" t="s">
        <v>238</v>
      </c>
      <c r="J55" s="48"/>
      <c r="K55" s="48"/>
    </row>
    <row r="56" spans="1:11">
      <c r="A56" s="48">
        <f>A55+2</f>
        <v>640</v>
      </c>
      <c r="B56" s="48"/>
      <c r="C56" s="48" t="s">
        <v>241</v>
      </c>
      <c r="D56" s="48"/>
      <c r="E56" s="48"/>
      <c r="G56" s="48"/>
      <c r="H56" s="48"/>
      <c r="I56" s="48"/>
      <c r="J56" s="48"/>
      <c r="K56" s="48"/>
    </row>
    <row r="58" spans="1:11">
      <c r="A58" s="26">
        <f>A56+100</f>
        <v>740</v>
      </c>
      <c r="B58" s="26">
        <v>0</v>
      </c>
      <c r="C58" s="27" t="s">
        <v>219</v>
      </c>
      <c r="D58" s="27" t="s">
        <v>9</v>
      </c>
      <c r="E58" s="27" t="s">
        <v>83</v>
      </c>
      <c r="F58" s="1"/>
      <c r="G58" s="27">
        <f>G55+100</f>
        <v>576</v>
      </c>
      <c r="H58" s="26">
        <v>0</v>
      </c>
      <c r="I58" s="27" t="s">
        <v>220</v>
      </c>
      <c r="J58" s="27" t="s">
        <v>9</v>
      </c>
      <c r="K58" s="27"/>
    </row>
    <row r="59" spans="1:11">
      <c r="A59" s="27"/>
      <c r="B59" s="26" t="s">
        <v>33</v>
      </c>
      <c r="C59" s="27"/>
      <c r="D59" s="27"/>
      <c r="E59" s="27"/>
      <c r="F59" s="1"/>
      <c r="G59" s="27"/>
      <c r="H59" s="26">
        <v>1</v>
      </c>
      <c r="I59" s="27" t="s">
        <v>221</v>
      </c>
      <c r="J59" s="27" t="s">
        <v>9</v>
      </c>
      <c r="K59" s="27"/>
    </row>
    <row r="60" spans="1:11">
      <c r="A60" s="27">
        <f>A58+2</f>
        <v>742</v>
      </c>
      <c r="B60" s="26"/>
      <c r="C60" s="27" t="s">
        <v>39</v>
      </c>
      <c r="D60" s="27" t="s">
        <v>40</v>
      </c>
      <c r="E60" s="27"/>
      <c r="F60" s="1"/>
      <c r="G60" s="27"/>
      <c r="H60" s="26">
        <v>2</v>
      </c>
      <c r="I60" s="27" t="s">
        <v>222</v>
      </c>
      <c r="J60" s="27" t="s">
        <v>9</v>
      </c>
      <c r="K60" s="27"/>
    </row>
    <row r="61" spans="1:11">
      <c r="A61" s="27">
        <f>A60+2</f>
        <v>744</v>
      </c>
      <c r="B61" s="26"/>
      <c r="C61" s="27" t="s">
        <v>42</v>
      </c>
      <c r="D61" s="27" t="s">
        <v>43</v>
      </c>
      <c r="E61" s="27"/>
      <c r="F61" s="1"/>
      <c r="G61" s="27"/>
      <c r="H61" s="26" t="s">
        <v>33</v>
      </c>
      <c r="I61" s="27"/>
      <c r="J61" s="27"/>
      <c r="K61" s="27"/>
    </row>
    <row r="62" spans="1:11">
      <c r="A62" s="27">
        <f>A61+42</f>
        <v>786</v>
      </c>
      <c r="B62" s="26"/>
      <c r="C62" s="27" t="s">
        <v>84</v>
      </c>
      <c r="D62" s="27" t="s">
        <v>202</v>
      </c>
      <c r="E62" s="27" t="s">
        <v>201</v>
      </c>
      <c r="F62" s="1"/>
      <c r="G62" s="27">
        <f>G58+2</f>
        <v>578</v>
      </c>
      <c r="H62" s="26"/>
      <c r="I62" s="27" t="s">
        <v>44</v>
      </c>
      <c r="J62" s="27" t="s">
        <v>40</v>
      </c>
      <c r="K62" s="27"/>
    </row>
    <row r="63" spans="1:11">
      <c r="A63" s="27">
        <f>A62+10*200</f>
        <v>2786</v>
      </c>
      <c r="B63" s="27"/>
      <c r="C63" s="27" t="s">
        <v>170</v>
      </c>
      <c r="D63" s="27"/>
      <c r="E63" s="27"/>
      <c r="F63" s="1"/>
      <c r="G63" s="27">
        <f>G62+2</f>
        <v>580</v>
      </c>
      <c r="H63" s="27"/>
      <c r="I63" s="27" t="s">
        <v>170</v>
      </c>
      <c r="J63" s="27"/>
      <c r="K63" s="27"/>
    </row>
    <row r="64" spans="1:11">
      <c r="F64" s="1"/>
    </row>
  </sheetData>
  <mergeCells count="5">
    <mergeCell ref="M5:P5"/>
    <mergeCell ref="A3:E3"/>
    <mergeCell ref="G3:K3"/>
    <mergeCell ref="A25:E25"/>
    <mergeCell ref="G25:K25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opLeftCell="A43" workbookViewId="0">
      <selection activeCell="N25" sqref="N25"/>
    </sheetView>
  </sheetViews>
  <sheetFormatPr defaultRowHeight="14.25"/>
  <cols>
    <col min="1" max="1" width="9.75" bestFit="1" customWidth="1"/>
    <col min="2" max="2" width="3.125" bestFit="1" customWidth="1"/>
    <col min="3" max="3" width="14.375" bestFit="1" customWidth="1"/>
    <col min="4" max="4" width="10.125" bestFit="1" customWidth="1"/>
    <col min="5" max="5" width="47.5" bestFit="1" customWidth="1"/>
    <col min="8" max="8" width="4.5" bestFit="1" customWidth="1"/>
    <col min="9" max="9" width="16.25" bestFit="1" customWidth="1"/>
    <col min="11" max="11" width="33.2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7"/>
      <c r="C2" s="1"/>
      <c r="D2" s="1"/>
      <c r="E2" s="1"/>
      <c r="F2" s="1"/>
      <c r="G2" s="1" t="s">
        <v>191</v>
      </c>
      <c r="H2" s="1">
        <v>201</v>
      </c>
      <c r="I2" s="1"/>
      <c r="J2" s="1"/>
      <c r="K2" s="1"/>
      <c r="L2" s="1"/>
      <c r="M2" s="1"/>
      <c r="N2" s="1"/>
      <c r="O2" s="1"/>
      <c r="P2" s="1"/>
    </row>
    <row r="3" spans="1:16">
      <c r="A3" s="51" t="s">
        <v>2</v>
      </c>
      <c r="B3" s="51"/>
      <c r="C3" s="51"/>
      <c r="D3" s="51"/>
      <c r="E3" s="51"/>
      <c r="F3" s="1"/>
      <c r="G3" s="51" t="s">
        <v>3</v>
      </c>
      <c r="H3" s="51"/>
      <c r="I3" s="51"/>
      <c r="J3" s="51"/>
      <c r="K3" s="51"/>
      <c r="L3" s="1"/>
      <c r="M3" s="1"/>
      <c r="N3" s="1"/>
      <c r="O3" s="1"/>
      <c r="P3" s="1"/>
    </row>
    <row r="4" spans="1:16">
      <c r="A4" s="2" t="s">
        <v>4</v>
      </c>
      <c r="B4" s="1"/>
      <c r="C4" s="2" t="s">
        <v>5</v>
      </c>
      <c r="D4" s="2" t="s">
        <v>6</v>
      </c>
      <c r="E4" s="2" t="s">
        <v>7</v>
      </c>
      <c r="F4" s="1"/>
      <c r="G4" s="2" t="s">
        <v>4</v>
      </c>
      <c r="H4" s="1"/>
      <c r="I4" s="2" t="s">
        <v>5</v>
      </c>
      <c r="J4" s="2" t="s">
        <v>6</v>
      </c>
      <c r="K4" s="2" t="s">
        <v>7</v>
      </c>
      <c r="L4" s="1"/>
      <c r="M4" s="1"/>
      <c r="N4" s="1"/>
      <c r="O4" s="1"/>
      <c r="P4" s="1"/>
    </row>
    <row r="5" spans="1:16">
      <c r="A5" s="3">
        <v>100</v>
      </c>
      <c r="B5" s="8">
        <v>0</v>
      </c>
      <c r="C5" s="3" t="s">
        <v>8</v>
      </c>
      <c r="D5" s="3" t="s">
        <v>9</v>
      </c>
      <c r="E5" s="3"/>
      <c r="F5" s="1"/>
      <c r="G5" s="3">
        <v>100</v>
      </c>
      <c r="H5" s="8">
        <v>0</v>
      </c>
      <c r="I5" s="3" t="s">
        <v>10</v>
      </c>
      <c r="J5" s="3" t="s">
        <v>9</v>
      </c>
      <c r="K5" s="3"/>
      <c r="L5" s="1"/>
      <c r="M5" s="57" t="s">
        <v>52</v>
      </c>
      <c r="N5" s="58"/>
      <c r="O5" s="58"/>
      <c r="P5" s="59"/>
    </row>
    <row r="6" spans="1:16">
      <c r="A6" s="3"/>
      <c r="B6" s="8">
        <v>1</v>
      </c>
      <c r="C6" s="3" t="s">
        <v>11</v>
      </c>
      <c r="D6" s="3" t="s">
        <v>9</v>
      </c>
      <c r="E6" s="3"/>
      <c r="F6" s="1"/>
      <c r="G6" s="3"/>
      <c r="H6" s="8">
        <v>1</v>
      </c>
      <c r="I6" s="3" t="s">
        <v>12</v>
      </c>
      <c r="J6" s="3" t="s">
        <v>9</v>
      </c>
      <c r="K6" s="3"/>
      <c r="L6" s="1"/>
      <c r="M6" s="14" t="s">
        <v>4</v>
      </c>
      <c r="N6" s="14"/>
      <c r="O6" s="14" t="s">
        <v>5</v>
      </c>
      <c r="P6" s="14" t="s">
        <v>6</v>
      </c>
    </row>
    <row r="7" spans="1:16">
      <c r="A7" s="3"/>
      <c r="B7" s="8">
        <v>2</v>
      </c>
      <c r="C7" s="3" t="s">
        <v>13</v>
      </c>
      <c r="D7" s="3" t="s">
        <v>9</v>
      </c>
      <c r="E7" s="3"/>
      <c r="F7" s="1"/>
      <c r="G7" s="3"/>
      <c r="H7" s="8">
        <v>2</v>
      </c>
      <c r="I7" s="3" t="s">
        <v>14</v>
      </c>
      <c r="J7" s="3" t="s">
        <v>9</v>
      </c>
      <c r="K7" s="3"/>
      <c r="L7" s="1"/>
      <c r="M7" s="14">
        <v>0</v>
      </c>
      <c r="N7" s="14"/>
      <c r="O7" s="14" t="s">
        <v>55</v>
      </c>
      <c r="P7" s="14" t="s">
        <v>117</v>
      </c>
    </row>
    <row r="8" spans="1:16">
      <c r="A8" s="3"/>
      <c r="B8" s="8">
        <v>3</v>
      </c>
      <c r="C8" s="3" t="s">
        <v>15</v>
      </c>
      <c r="D8" s="3" t="s">
        <v>9</v>
      </c>
      <c r="E8" s="3"/>
      <c r="F8" s="1"/>
      <c r="G8" s="3"/>
      <c r="H8" s="8">
        <v>3</v>
      </c>
      <c r="I8" s="3" t="s">
        <v>16</v>
      </c>
      <c r="J8" s="3" t="s">
        <v>9</v>
      </c>
      <c r="K8" s="3"/>
      <c r="L8" s="1"/>
      <c r="M8" s="14">
        <v>4</v>
      </c>
      <c r="N8" s="14"/>
      <c r="O8" s="14" t="s">
        <v>56</v>
      </c>
      <c r="P8" s="14" t="s">
        <v>117</v>
      </c>
    </row>
    <row r="9" spans="1:16">
      <c r="A9" s="3"/>
      <c r="B9" s="8">
        <v>4</v>
      </c>
      <c r="C9" s="3" t="s">
        <v>17</v>
      </c>
      <c r="D9" s="3" t="s">
        <v>9</v>
      </c>
      <c r="E9" s="3"/>
      <c r="F9" s="1"/>
      <c r="G9" s="3"/>
      <c r="H9" s="8">
        <v>4</v>
      </c>
      <c r="I9" s="3" t="s">
        <v>18</v>
      </c>
      <c r="J9" s="3" t="s">
        <v>9</v>
      </c>
      <c r="K9" s="3"/>
      <c r="L9" s="1"/>
      <c r="M9" s="14">
        <v>8</v>
      </c>
      <c r="N9" s="14"/>
      <c r="O9" s="14" t="s">
        <v>58</v>
      </c>
      <c r="P9" s="14" t="s">
        <v>117</v>
      </c>
    </row>
    <row r="10" spans="1:16">
      <c r="A10" s="3"/>
      <c r="B10" s="8">
        <v>5</v>
      </c>
      <c r="C10" s="3" t="s">
        <v>19</v>
      </c>
      <c r="D10" s="3" t="s">
        <v>9</v>
      </c>
      <c r="E10" s="3"/>
      <c r="F10" s="1"/>
      <c r="G10" s="3"/>
      <c r="H10" s="8">
        <v>5</v>
      </c>
      <c r="I10" s="3" t="s">
        <v>20</v>
      </c>
      <c r="J10" s="3" t="s">
        <v>9</v>
      </c>
      <c r="K10" s="3"/>
      <c r="L10" s="1"/>
      <c r="M10" s="14">
        <v>12</v>
      </c>
      <c r="N10" s="14"/>
      <c r="O10" s="14" t="s">
        <v>60</v>
      </c>
      <c r="P10" s="14" t="s">
        <v>117</v>
      </c>
    </row>
    <row r="11" spans="1:16">
      <c r="A11" s="3"/>
      <c r="B11" s="8">
        <v>6</v>
      </c>
      <c r="C11" s="3" t="s">
        <v>21</v>
      </c>
      <c r="D11" s="3" t="s">
        <v>9</v>
      </c>
      <c r="E11" s="3"/>
      <c r="F11" s="1"/>
      <c r="G11" s="3"/>
      <c r="H11" s="8" t="s">
        <v>22</v>
      </c>
      <c r="I11" s="3" t="s">
        <v>21</v>
      </c>
      <c r="J11" s="3"/>
      <c r="K11" s="3"/>
      <c r="L11" s="1"/>
      <c r="M11" s="14">
        <f>M10+4</f>
        <v>16</v>
      </c>
      <c r="N11" s="14"/>
      <c r="O11" s="14"/>
      <c r="P11" s="14"/>
    </row>
    <row r="12" spans="1:16">
      <c r="A12" s="3"/>
      <c r="B12" s="8">
        <v>7</v>
      </c>
      <c r="C12" s="3" t="s">
        <v>21</v>
      </c>
      <c r="D12" s="3" t="s">
        <v>9</v>
      </c>
      <c r="E12" s="3"/>
      <c r="F12" s="1"/>
      <c r="G12" s="3"/>
      <c r="H12" s="8">
        <v>8</v>
      </c>
      <c r="I12" s="3" t="s">
        <v>21</v>
      </c>
      <c r="J12" s="3" t="s">
        <v>9</v>
      </c>
      <c r="K12" s="3"/>
      <c r="L12" s="1"/>
      <c r="M12" s="1"/>
      <c r="N12" s="1"/>
      <c r="O12" s="1"/>
      <c r="P12" s="1"/>
    </row>
    <row r="13" spans="1:16">
      <c r="A13" s="3"/>
      <c r="B13" s="8" t="s">
        <v>22</v>
      </c>
      <c r="C13" s="3"/>
      <c r="D13" s="3"/>
      <c r="E13" s="3"/>
      <c r="F13" s="1"/>
      <c r="G13" s="3"/>
      <c r="H13" s="8" t="s">
        <v>22</v>
      </c>
      <c r="I13" s="3" t="s">
        <v>21</v>
      </c>
      <c r="J13" s="3"/>
      <c r="K13" s="3"/>
      <c r="L13" s="1"/>
      <c r="M13" s="1"/>
      <c r="N13" s="1"/>
      <c r="O13" s="1"/>
      <c r="P13" s="1"/>
    </row>
    <row r="14" spans="1:16">
      <c r="A14" s="3"/>
      <c r="B14" s="8">
        <v>15</v>
      </c>
      <c r="C14" s="3" t="s">
        <v>23</v>
      </c>
      <c r="D14" s="3" t="s">
        <v>9</v>
      </c>
      <c r="E14" s="3"/>
      <c r="F14" s="1"/>
      <c r="G14" s="3"/>
      <c r="H14" s="8">
        <v>15</v>
      </c>
      <c r="I14" s="3" t="s">
        <v>24</v>
      </c>
      <c r="J14" s="3"/>
      <c r="K14" s="3"/>
      <c r="L14" s="1"/>
      <c r="M14" s="1"/>
      <c r="N14" s="1"/>
      <c r="O14" s="1"/>
      <c r="P14" s="1"/>
    </row>
    <row r="15" spans="1:16">
      <c r="A15" s="4">
        <f>A5+2</f>
        <v>102</v>
      </c>
      <c r="B15" s="9">
        <v>0</v>
      </c>
      <c r="C15" s="4" t="s">
        <v>25</v>
      </c>
      <c r="D15" s="4" t="s">
        <v>9</v>
      </c>
      <c r="E15" s="4"/>
      <c r="F15" s="1"/>
      <c r="G15" s="3">
        <f>G5+2</f>
        <v>102</v>
      </c>
      <c r="H15" s="3"/>
      <c r="I15" s="3"/>
      <c r="J15" s="3"/>
      <c r="K15" s="3"/>
      <c r="L15" s="1"/>
      <c r="M15" s="1"/>
      <c r="N15" s="1"/>
      <c r="O15" s="1"/>
      <c r="P15" s="1"/>
    </row>
    <row r="16" spans="1:16">
      <c r="A16" s="4"/>
      <c r="B16" s="9">
        <v>1</v>
      </c>
      <c r="C16" s="4" t="s">
        <v>26</v>
      </c>
      <c r="D16" s="4" t="s">
        <v>9</v>
      </c>
      <c r="E16" s="4"/>
      <c r="F16" s="1"/>
      <c r="G16" s="3"/>
      <c r="H16" s="3"/>
      <c r="I16" s="3"/>
      <c r="J16" s="3"/>
      <c r="K16" s="3"/>
      <c r="L16" s="1"/>
      <c r="M16" s="1"/>
      <c r="N16" s="1"/>
      <c r="O16" s="1"/>
      <c r="P16" s="1"/>
    </row>
    <row r="17" spans="1:11">
      <c r="A17" s="4"/>
      <c r="B17" s="9">
        <v>2</v>
      </c>
      <c r="C17" s="4" t="s">
        <v>27</v>
      </c>
      <c r="D17" s="4" t="s">
        <v>9</v>
      </c>
      <c r="E17" s="4"/>
      <c r="F17" s="1"/>
      <c r="G17" s="3"/>
      <c r="H17" s="3"/>
      <c r="I17" s="3"/>
      <c r="J17" s="3"/>
      <c r="K17" s="3"/>
    </row>
    <row r="18" spans="1:11">
      <c r="A18" s="4"/>
      <c r="B18" s="9">
        <v>3</v>
      </c>
      <c r="C18" s="4" t="s">
        <v>28</v>
      </c>
      <c r="D18" s="4" t="s">
        <v>9</v>
      </c>
      <c r="E18" s="4"/>
      <c r="F18" s="1"/>
      <c r="G18" s="3"/>
      <c r="H18" s="3"/>
      <c r="I18" s="3"/>
      <c r="J18" s="3"/>
      <c r="K18" s="3"/>
    </row>
    <row r="19" spans="1:11">
      <c r="A19" s="4"/>
      <c r="B19" s="9">
        <v>4</v>
      </c>
      <c r="C19" s="4" t="s">
        <v>29</v>
      </c>
      <c r="D19" s="4" t="s">
        <v>9</v>
      </c>
      <c r="E19" s="4"/>
      <c r="F19" s="1"/>
      <c r="G19" s="3"/>
      <c r="H19" s="3"/>
      <c r="I19" s="3"/>
      <c r="J19" s="3"/>
      <c r="K19" s="3"/>
    </row>
    <row r="20" spans="1:11">
      <c r="A20" s="4"/>
      <c r="B20" s="9">
        <v>5</v>
      </c>
      <c r="C20" s="4" t="s">
        <v>30</v>
      </c>
      <c r="D20" s="4" t="s">
        <v>9</v>
      </c>
      <c r="E20" s="4"/>
      <c r="F20" s="1"/>
      <c r="G20" s="3"/>
      <c r="H20" s="3"/>
      <c r="I20" s="3"/>
      <c r="J20" s="3"/>
      <c r="K20" s="3"/>
    </row>
    <row r="21" spans="1:11">
      <c r="A21" s="4"/>
      <c r="B21" s="9">
        <v>6</v>
      </c>
      <c r="C21" s="4" t="s">
        <v>31</v>
      </c>
      <c r="D21" s="4" t="s">
        <v>9</v>
      </c>
      <c r="E21" s="4"/>
      <c r="F21" s="1"/>
      <c r="G21" s="3"/>
      <c r="H21" s="3"/>
      <c r="I21" s="3"/>
      <c r="J21" s="3"/>
      <c r="K21" s="3"/>
    </row>
    <row r="22" spans="1:11">
      <c r="A22" s="4"/>
      <c r="B22" s="9">
        <v>7</v>
      </c>
      <c r="C22" s="4" t="s">
        <v>32</v>
      </c>
      <c r="D22" s="4" t="s">
        <v>9</v>
      </c>
      <c r="E22" s="4"/>
      <c r="F22" s="1"/>
      <c r="G22" s="3"/>
      <c r="H22" s="3"/>
      <c r="I22" s="3"/>
      <c r="J22" s="3"/>
      <c r="K22" s="3"/>
    </row>
    <row r="23" spans="1:11">
      <c r="A23" s="4"/>
      <c r="B23" s="9" t="s">
        <v>33</v>
      </c>
      <c r="C23" s="4" t="s">
        <v>21</v>
      </c>
      <c r="D23" s="4"/>
      <c r="E23" s="4"/>
      <c r="F23" s="1"/>
      <c r="G23" s="3"/>
      <c r="H23" s="3"/>
      <c r="I23" s="3"/>
      <c r="J23" s="3"/>
      <c r="K23" s="3"/>
    </row>
    <row r="24" spans="1:11">
      <c r="A24" s="4"/>
      <c r="B24" s="9">
        <v>15</v>
      </c>
      <c r="C24" s="4"/>
      <c r="D24" s="4" t="s">
        <v>9</v>
      </c>
      <c r="E24" s="4"/>
      <c r="F24" s="1"/>
      <c r="G24" s="3"/>
      <c r="H24" s="3"/>
      <c r="I24" s="3"/>
      <c r="J24" s="3"/>
      <c r="K24" s="3"/>
    </row>
    <row r="25" spans="1:11">
      <c r="A25" s="55" t="s">
        <v>34</v>
      </c>
      <c r="B25" s="55"/>
      <c r="C25" s="55"/>
      <c r="D25" s="55"/>
      <c r="E25" s="55"/>
      <c r="F25" s="1"/>
      <c r="G25" s="53" t="s">
        <v>34</v>
      </c>
      <c r="H25" s="53"/>
      <c r="I25" s="53"/>
      <c r="J25" s="53"/>
      <c r="K25" s="53"/>
    </row>
    <row r="26" spans="1:11">
      <c r="A26" s="10">
        <f>A15+12</f>
        <v>114</v>
      </c>
      <c r="B26" s="11">
        <v>0</v>
      </c>
      <c r="C26" s="10" t="s">
        <v>35</v>
      </c>
      <c r="D26" s="10" t="s">
        <v>9</v>
      </c>
      <c r="E26" s="10" t="s">
        <v>36</v>
      </c>
      <c r="F26" s="1"/>
      <c r="G26" s="10">
        <f>G15+12</f>
        <v>114</v>
      </c>
      <c r="H26" s="11">
        <v>0</v>
      </c>
      <c r="I26" s="10" t="s">
        <v>37</v>
      </c>
      <c r="J26" s="10"/>
      <c r="K26" s="10"/>
    </row>
    <row r="27" spans="1:11">
      <c r="A27" s="10"/>
      <c r="B27" s="11" t="s">
        <v>33</v>
      </c>
      <c r="C27" s="10"/>
      <c r="D27" s="10"/>
      <c r="E27" s="10"/>
      <c r="F27" s="1"/>
      <c r="G27" s="10"/>
      <c r="H27" s="11">
        <v>1</v>
      </c>
      <c r="I27" s="10" t="s">
        <v>38</v>
      </c>
      <c r="J27" s="10"/>
      <c r="K27" s="10"/>
    </row>
    <row r="28" spans="1:11">
      <c r="A28" s="10">
        <f>A26+2</f>
        <v>116</v>
      </c>
      <c r="B28" s="11"/>
      <c r="C28" s="10" t="s">
        <v>39</v>
      </c>
      <c r="D28" s="10" t="s">
        <v>40</v>
      </c>
      <c r="E28" s="10"/>
      <c r="F28" s="1"/>
      <c r="G28" s="10"/>
      <c r="H28" s="11">
        <v>2</v>
      </c>
      <c r="I28" s="10" t="s">
        <v>41</v>
      </c>
      <c r="J28" s="10"/>
      <c r="K28" s="10"/>
    </row>
    <row r="29" spans="1:11">
      <c r="A29" s="10">
        <f>A28+2</f>
        <v>118</v>
      </c>
      <c r="B29" s="11"/>
      <c r="C29" s="10" t="s">
        <v>42</v>
      </c>
      <c r="D29" s="10" t="s">
        <v>43</v>
      </c>
      <c r="E29" s="10"/>
      <c r="F29" s="1"/>
      <c r="G29" s="10"/>
      <c r="H29" s="11" t="s">
        <v>33</v>
      </c>
      <c r="I29" s="10"/>
      <c r="J29" s="10"/>
      <c r="K29" s="10"/>
    </row>
    <row r="30" spans="1:11">
      <c r="A30" s="10">
        <f>A29+42</f>
        <v>160</v>
      </c>
      <c r="B30" s="11"/>
      <c r="C30" s="10" t="s">
        <v>21</v>
      </c>
      <c r="D30" s="10"/>
      <c r="E30" s="10"/>
      <c r="F30" s="1"/>
      <c r="G30" s="10">
        <f>G26+2</f>
        <v>116</v>
      </c>
      <c r="H30" s="11"/>
      <c r="I30" s="10" t="s">
        <v>44</v>
      </c>
      <c r="J30" s="10" t="s">
        <v>40</v>
      </c>
      <c r="K30" s="10"/>
    </row>
    <row r="31" spans="1:11">
      <c r="A31" s="10"/>
      <c r="B31" s="11"/>
      <c r="C31" s="10"/>
      <c r="D31" s="10"/>
      <c r="E31" s="10"/>
      <c r="F31" s="1"/>
      <c r="G31" s="10"/>
      <c r="H31" s="11"/>
      <c r="I31" s="10"/>
      <c r="J31" s="10"/>
      <c r="K31" s="10"/>
    </row>
    <row r="32" spans="1:11">
      <c r="A32" s="10"/>
      <c r="B32" s="11"/>
      <c r="C32" s="10"/>
      <c r="D32" s="10"/>
      <c r="E32" s="10"/>
      <c r="F32" s="1"/>
      <c r="G32" s="10">
        <f>G30+2</f>
        <v>118</v>
      </c>
      <c r="H32" s="11"/>
      <c r="I32" s="10" t="s">
        <v>21</v>
      </c>
      <c r="J32" s="10"/>
      <c r="K32" s="10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2">
        <f>A30+100</f>
        <v>260</v>
      </c>
      <c r="B34" s="13">
        <v>0</v>
      </c>
      <c r="C34" s="12" t="s">
        <v>45</v>
      </c>
      <c r="D34" s="12" t="s">
        <v>9</v>
      </c>
      <c r="E34" s="12" t="s">
        <v>36</v>
      </c>
      <c r="F34" s="1"/>
      <c r="G34" s="12">
        <f>G32+100</f>
        <v>218</v>
      </c>
      <c r="H34" s="13">
        <v>0</v>
      </c>
      <c r="I34" s="12" t="s">
        <v>46</v>
      </c>
      <c r="J34" s="12"/>
      <c r="K34" s="12"/>
      <c r="L34" s="1"/>
      <c r="M34" s="1"/>
      <c r="N34" s="1"/>
      <c r="O34" s="1"/>
      <c r="P34" s="1"/>
    </row>
    <row r="35" spans="1:16">
      <c r="A35" s="12"/>
      <c r="B35" s="13" t="s">
        <v>33</v>
      </c>
      <c r="C35" s="12"/>
      <c r="D35" s="12"/>
      <c r="E35" s="12"/>
      <c r="F35" s="1"/>
      <c r="G35" s="12"/>
      <c r="H35" s="13">
        <v>1</v>
      </c>
      <c r="I35" s="12" t="s">
        <v>47</v>
      </c>
      <c r="J35" s="12"/>
      <c r="K35" s="12"/>
      <c r="L35" s="1"/>
      <c r="M35" s="1"/>
      <c r="N35" s="1"/>
      <c r="O35" s="1"/>
      <c r="P35" s="1"/>
    </row>
    <row r="36" spans="1:16">
      <c r="A36" s="12">
        <f>A34+2</f>
        <v>262</v>
      </c>
      <c r="B36" s="13"/>
      <c r="C36" s="12" t="s">
        <v>39</v>
      </c>
      <c r="D36" s="12" t="s">
        <v>40</v>
      </c>
      <c r="E36" s="12"/>
      <c r="F36" s="1"/>
      <c r="G36" s="12"/>
      <c r="H36" s="13">
        <v>2</v>
      </c>
      <c r="I36" s="12" t="s">
        <v>48</v>
      </c>
      <c r="J36" s="12"/>
      <c r="K36" s="12"/>
      <c r="L36" s="1"/>
      <c r="M36" s="1"/>
      <c r="N36" s="1"/>
      <c r="O36" s="1"/>
      <c r="P36" s="1"/>
    </row>
    <row r="37" spans="1:16">
      <c r="A37" s="12">
        <f>A36+2</f>
        <v>264</v>
      </c>
      <c r="B37" s="13"/>
      <c r="C37" s="12" t="s">
        <v>42</v>
      </c>
      <c r="D37" s="12" t="s">
        <v>43</v>
      </c>
      <c r="E37" s="12"/>
      <c r="F37" s="1"/>
      <c r="G37" s="12"/>
      <c r="H37" s="13" t="s">
        <v>33</v>
      </c>
      <c r="I37" s="12"/>
      <c r="J37" s="12"/>
      <c r="K37" s="12"/>
      <c r="L37" s="1"/>
      <c r="M37" s="1"/>
      <c r="N37" s="1"/>
      <c r="O37" s="1"/>
      <c r="P37" s="1"/>
    </row>
    <row r="38" spans="1:16">
      <c r="A38" s="12">
        <f>A37+42</f>
        <v>306</v>
      </c>
      <c r="B38" s="13"/>
      <c r="C38" s="12" t="s">
        <v>21</v>
      </c>
      <c r="D38" s="12"/>
      <c r="E38" s="12"/>
      <c r="F38" s="1"/>
      <c r="G38" s="12">
        <f>G34+2</f>
        <v>220</v>
      </c>
      <c r="H38" s="13"/>
      <c r="I38" s="12" t="s">
        <v>44</v>
      </c>
      <c r="J38" s="12" t="s">
        <v>40</v>
      </c>
      <c r="K38" s="12"/>
      <c r="L38" s="1"/>
      <c r="M38" s="1"/>
      <c r="N38" s="1"/>
      <c r="O38" s="1"/>
      <c r="P38" s="1"/>
    </row>
    <row r="39" spans="1:16">
      <c r="A39" s="12"/>
      <c r="B39" s="13"/>
      <c r="C39" s="12"/>
      <c r="D39" s="12"/>
      <c r="E39" s="12"/>
      <c r="F39" s="1"/>
      <c r="G39" s="12">
        <f>G38+2</f>
        <v>222</v>
      </c>
      <c r="H39" s="13"/>
      <c r="I39" s="12" t="s">
        <v>21</v>
      </c>
      <c r="J39" s="12"/>
      <c r="K39" s="12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4">
        <f>A38+100</f>
        <v>406</v>
      </c>
      <c r="B41" s="15">
        <v>0</v>
      </c>
      <c r="C41" s="14" t="s">
        <v>49</v>
      </c>
      <c r="D41" s="14" t="s">
        <v>9</v>
      </c>
      <c r="E41" s="14" t="s">
        <v>50</v>
      </c>
      <c r="F41" s="1"/>
      <c r="G41" s="14">
        <f>G39+100</f>
        <v>322</v>
      </c>
      <c r="H41" s="15">
        <v>0</v>
      </c>
      <c r="I41" s="14" t="s">
        <v>51</v>
      </c>
      <c r="J41" s="14"/>
      <c r="K41" s="14"/>
      <c r="L41" s="1"/>
    </row>
    <row r="42" spans="1:16">
      <c r="A42" s="14"/>
      <c r="B42" s="15" t="s">
        <v>33</v>
      </c>
      <c r="C42" s="14"/>
      <c r="D42" s="14"/>
      <c r="E42" s="14"/>
      <c r="F42" s="1"/>
      <c r="G42" s="14"/>
      <c r="H42" s="15">
        <v>1</v>
      </c>
      <c r="I42" s="14" t="s">
        <v>53</v>
      </c>
      <c r="J42" s="14"/>
      <c r="K42" s="14"/>
      <c r="L42" s="1"/>
    </row>
    <row r="43" spans="1:16">
      <c r="A43" s="14">
        <f>A41+2</f>
        <v>408</v>
      </c>
      <c r="B43" s="15"/>
      <c r="C43" s="14" t="s">
        <v>39</v>
      </c>
      <c r="D43" s="14" t="s">
        <v>40</v>
      </c>
      <c r="E43" s="14"/>
      <c r="F43" s="1"/>
      <c r="G43" s="14"/>
      <c r="H43" s="15">
        <v>2</v>
      </c>
      <c r="I43" s="14" t="s">
        <v>54</v>
      </c>
      <c r="J43" s="14"/>
      <c r="K43" s="14"/>
      <c r="L43" s="1"/>
    </row>
    <row r="44" spans="1:16">
      <c r="A44" s="14">
        <f>A43+2</f>
        <v>410</v>
      </c>
      <c r="B44" s="15"/>
      <c r="C44" s="14" t="s">
        <v>42</v>
      </c>
      <c r="D44" s="14" t="s">
        <v>43</v>
      </c>
      <c r="E44" s="14"/>
      <c r="F44" s="1"/>
      <c r="G44" s="14"/>
      <c r="H44" s="15" t="s">
        <v>33</v>
      </c>
      <c r="I44" s="14"/>
      <c r="J44" s="14"/>
      <c r="K44" s="14"/>
      <c r="L44" s="1"/>
    </row>
    <row r="45" spans="1:16">
      <c r="A45" s="14">
        <f>A44+42</f>
        <v>452</v>
      </c>
      <c r="B45" s="15"/>
      <c r="C45" s="14" t="s">
        <v>57</v>
      </c>
      <c r="D45" s="14" t="s">
        <v>40</v>
      </c>
      <c r="E45" s="14"/>
      <c r="F45" s="1"/>
      <c r="G45" s="14">
        <f>G41+2</f>
        <v>324</v>
      </c>
      <c r="H45" s="15"/>
      <c r="I45" s="14" t="s">
        <v>44</v>
      </c>
      <c r="J45" s="14" t="s">
        <v>40</v>
      </c>
      <c r="K45" s="14"/>
      <c r="L45" s="1"/>
    </row>
    <row r="46" spans="1:16">
      <c r="A46" s="14">
        <f t="shared" ref="A46:A51" si="0">A45+2</f>
        <v>454</v>
      </c>
      <c r="B46" s="15"/>
      <c r="C46" s="14" t="s">
        <v>59</v>
      </c>
      <c r="D46" s="14" t="s">
        <v>40</v>
      </c>
      <c r="E46" s="14"/>
      <c r="F46" s="1"/>
      <c r="G46" s="14">
        <f>G45+2</f>
        <v>326</v>
      </c>
      <c r="H46" s="15"/>
      <c r="I46" s="14" t="s">
        <v>21</v>
      </c>
      <c r="J46" s="14"/>
      <c r="K46" s="14"/>
      <c r="L46" s="1"/>
    </row>
    <row r="47" spans="1:16">
      <c r="A47" s="14">
        <f t="shared" si="0"/>
        <v>456</v>
      </c>
      <c r="B47" s="15"/>
      <c r="C47" s="14" t="s">
        <v>61</v>
      </c>
      <c r="D47" s="14" t="s">
        <v>40</v>
      </c>
      <c r="E47" s="14"/>
      <c r="F47" s="1"/>
      <c r="G47" s="14"/>
      <c r="H47" s="15"/>
      <c r="I47" s="14"/>
      <c r="J47" s="14"/>
      <c r="K47" s="14"/>
      <c r="L47" s="1"/>
      <c r="M47" s="1"/>
      <c r="N47" s="1"/>
      <c r="O47" s="1"/>
      <c r="P47" s="1"/>
    </row>
    <row r="48" spans="1:16">
      <c r="A48" s="14">
        <f t="shared" si="0"/>
        <v>458</v>
      </c>
      <c r="B48" s="15"/>
      <c r="C48" s="14" t="s">
        <v>62</v>
      </c>
      <c r="D48" s="14" t="s">
        <v>40</v>
      </c>
      <c r="E48" s="14"/>
      <c r="F48" s="1"/>
      <c r="G48" s="14"/>
      <c r="H48" s="15"/>
      <c r="I48" s="14"/>
      <c r="J48" s="14"/>
      <c r="K48" s="14"/>
      <c r="L48" s="1"/>
      <c r="M48" s="1"/>
      <c r="N48" s="1"/>
      <c r="O48" s="1"/>
      <c r="P48" s="1"/>
    </row>
    <row r="49" spans="1:16">
      <c r="A49" s="14">
        <f t="shared" si="0"/>
        <v>460</v>
      </c>
      <c r="B49" s="15"/>
      <c r="C49" s="14" t="s">
        <v>63</v>
      </c>
      <c r="D49" s="14" t="s">
        <v>40</v>
      </c>
      <c r="E49" s="14"/>
      <c r="F49" s="1"/>
      <c r="G49" s="14"/>
      <c r="H49" s="15"/>
      <c r="I49" s="14"/>
      <c r="J49" s="14"/>
      <c r="K49" s="14"/>
      <c r="L49" s="1"/>
      <c r="M49" s="1"/>
      <c r="N49" s="1"/>
      <c r="O49" s="1"/>
      <c r="P49" s="1"/>
    </row>
    <row r="50" spans="1:16">
      <c r="A50" s="14">
        <f t="shared" si="0"/>
        <v>462</v>
      </c>
      <c r="B50" s="15"/>
      <c r="C50" s="14" t="s">
        <v>64</v>
      </c>
      <c r="D50" s="14" t="s">
        <v>40</v>
      </c>
      <c r="E50" s="14"/>
      <c r="F50" s="1"/>
      <c r="G50" s="14"/>
      <c r="H50" s="15"/>
      <c r="I50" s="14"/>
      <c r="J50" s="14"/>
      <c r="K50" s="14"/>
      <c r="L50" s="1"/>
      <c r="M50" s="1"/>
      <c r="N50" s="1"/>
      <c r="O50" s="1"/>
      <c r="P50" s="1"/>
    </row>
    <row r="51" spans="1:16">
      <c r="A51" s="14">
        <f t="shared" si="0"/>
        <v>464</v>
      </c>
      <c r="B51" s="15"/>
      <c r="C51" s="14" t="s">
        <v>65</v>
      </c>
      <c r="D51" s="14" t="s">
        <v>66</v>
      </c>
      <c r="E51" s="14" t="s">
        <v>67</v>
      </c>
      <c r="F51" s="1"/>
      <c r="G51" s="14"/>
      <c r="H51" s="15"/>
      <c r="I51" s="14"/>
      <c r="J51" s="14"/>
      <c r="K51" s="14"/>
      <c r="L51" s="1"/>
      <c r="M51" s="1"/>
      <c r="N51" s="1"/>
      <c r="O51" s="1"/>
      <c r="P51" s="1"/>
    </row>
    <row r="52" spans="1:16">
      <c r="A52" s="14">
        <f>A51+16*30</f>
        <v>944</v>
      </c>
      <c r="B52" s="15"/>
      <c r="C52" s="14" t="s">
        <v>21</v>
      </c>
      <c r="D52" s="14"/>
      <c r="E52" s="14"/>
      <c r="F52" s="1"/>
      <c r="G52" s="14"/>
      <c r="H52" s="15"/>
      <c r="I52" s="14"/>
      <c r="J52" s="14"/>
      <c r="K52" s="14"/>
      <c r="L52" s="1"/>
      <c r="M52" s="1"/>
      <c r="N52" s="1"/>
      <c r="O52" s="1"/>
      <c r="P52" s="1"/>
    </row>
    <row r="54" spans="1:16">
      <c r="A54" s="31">
        <f>A52+100</f>
        <v>1044</v>
      </c>
      <c r="B54" s="32">
        <v>0</v>
      </c>
      <c r="C54" s="31" t="s">
        <v>178</v>
      </c>
      <c r="D54" s="31" t="s">
        <v>9</v>
      </c>
      <c r="E54" s="32" t="s">
        <v>179</v>
      </c>
      <c r="F54" s="1"/>
      <c r="G54" s="32">
        <f>G46+100</f>
        <v>426</v>
      </c>
      <c r="H54" s="32">
        <v>0</v>
      </c>
      <c r="I54" s="32" t="s">
        <v>184</v>
      </c>
      <c r="J54" s="31"/>
      <c r="K54" s="32"/>
    </row>
    <row r="55" spans="1:16">
      <c r="A55" s="32"/>
      <c r="B55" s="32" t="s">
        <v>180</v>
      </c>
      <c r="C55" s="32"/>
      <c r="D55" s="32"/>
      <c r="E55" s="32"/>
      <c r="F55" s="1"/>
      <c r="G55" s="32"/>
      <c r="H55" s="32">
        <v>1</v>
      </c>
      <c r="I55" s="32" t="s">
        <v>185</v>
      </c>
      <c r="J55" s="32"/>
      <c r="K55" s="32"/>
    </row>
    <row r="56" spans="1:16">
      <c r="A56" s="31">
        <f>A54+2</f>
        <v>1046</v>
      </c>
      <c r="B56" s="32"/>
      <c r="C56" s="31" t="s">
        <v>183</v>
      </c>
      <c r="D56" s="32" t="s">
        <v>199</v>
      </c>
      <c r="E56" s="32" t="s">
        <v>182</v>
      </c>
      <c r="F56" s="1"/>
      <c r="G56" s="32"/>
      <c r="H56" s="32">
        <v>2</v>
      </c>
      <c r="I56" s="32" t="s">
        <v>186</v>
      </c>
      <c r="J56" s="32"/>
      <c r="K56" s="32"/>
    </row>
    <row r="57" spans="1:16">
      <c r="A57" s="32"/>
      <c r="B57" s="32"/>
      <c r="C57" s="32"/>
      <c r="D57" s="32"/>
      <c r="E57" s="32"/>
      <c r="F57" s="1"/>
      <c r="G57" s="32"/>
      <c r="H57" s="32" t="s">
        <v>180</v>
      </c>
      <c r="I57" s="32"/>
      <c r="J57" s="32"/>
      <c r="K57" s="32"/>
    </row>
    <row r="58" spans="1:16">
      <c r="A58" s="32"/>
      <c r="B58" s="32"/>
      <c r="C58" s="32"/>
      <c r="D58" s="32"/>
      <c r="E58" s="32"/>
      <c r="F58" s="1"/>
      <c r="G58" s="32">
        <f>G54+2</f>
        <v>428</v>
      </c>
      <c r="H58" s="32"/>
      <c r="I58" s="32" t="s">
        <v>187</v>
      </c>
      <c r="J58" s="32" t="s">
        <v>40</v>
      </c>
      <c r="K58" s="32"/>
    </row>
  </sheetData>
  <mergeCells count="5">
    <mergeCell ref="A3:E3"/>
    <mergeCell ref="G3:K3"/>
    <mergeCell ref="A25:E25"/>
    <mergeCell ref="G25:K25"/>
    <mergeCell ref="M5:P5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opLeftCell="A19" workbookViewId="0">
      <selection activeCell="N29" sqref="N29"/>
    </sheetView>
  </sheetViews>
  <sheetFormatPr defaultRowHeight="14.25"/>
  <cols>
    <col min="1" max="1" width="10.25" bestFit="1" customWidth="1"/>
    <col min="2" max="2" width="4.125" bestFit="1" customWidth="1"/>
    <col min="3" max="3" width="14.375" bestFit="1" customWidth="1"/>
    <col min="4" max="4" width="10.125" bestFit="1" customWidth="1"/>
    <col min="5" max="5" width="47.5" bestFit="1" customWidth="1"/>
    <col min="7" max="7" width="7.125" bestFit="1" customWidth="1"/>
    <col min="8" max="8" width="4.5" bestFit="1" customWidth="1"/>
    <col min="9" max="9" width="16.25" bestFit="1" customWidth="1"/>
    <col min="10" max="10" width="8.5" bestFit="1" customWidth="1"/>
    <col min="11" max="11" width="41" customWidth="1"/>
    <col min="13" max="13" width="4.875" bestFit="1" customWidth="1"/>
    <col min="14" max="14" width="18.25" bestFit="1" customWidth="1"/>
    <col min="15" max="15" width="9.75" bestFit="1" customWidth="1"/>
    <col min="16" max="16" width="12.875" bestFit="1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>
      <c r="A2" s="1" t="s">
        <v>1</v>
      </c>
      <c r="B2" s="7">
        <v>200</v>
      </c>
      <c r="C2" s="1"/>
      <c r="D2" s="1"/>
      <c r="E2" s="1"/>
      <c r="F2" s="1"/>
      <c r="G2" s="1" t="s">
        <v>191</v>
      </c>
      <c r="H2" s="1">
        <v>201</v>
      </c>
      <c r="I2" s="1"/>
      <c r="J2" s="1"/>
      <c r="K2" s="1"/>
    </row>
    <row r="3" spans="1:16">
      <c r="A3" s="51" t="s">
        <v>2</v>
      </c>
      <c r="B3" s="51"/>
      <c r="C3" s="51"/>
      <c r="D3" s="51"/>
      <c r="E3" s="51"/>
      <c r="F3" s="1"/>
      <c r="G3" s="51" t="s">
        <v>3</v>
      </c>
      <c r="H3" s="51"/>
      <c r="I3" s="51"/>
      <c r="J3" s="51"/>
      <c r="K3" s="51"/>
    </row>
    <row r="4" spans="1:16">
      <c r="A4" s="2" t="s">
        <v>4</v>
      </c>
      <c r="B4" s="1"/>
      <c r="C4" s="2" t="s">
        <v>5</v>
      </c>
      <c r="D4" s="2" t="s">
        <v>6</v>
      </c>
      <c r="E4" s="2" t="s">
        <v>7</v>
      </c>
      <c r="F4" s="1"/>
      <c r="G4" s="2" t="s">
        <v>4</v>
      </c>
      <c r="H4" s="1"/>
      <c r="I4" s="2" t="s">
        <v>5</v>
      </c>
      <c r="J4" s="2" t="s">
        <v>6</v>
      </c>
      <c r="K4" s="2" t="s">
        <v>7</v>
      </c>
    </row>
    <row r="5" spans="1:16">
      <c r="A5" s="3">
        <v>100</v>
      </c>
      <c r="B5" s="8">
        <v>0</v>
      </c>
      <c r="C5" s="3" t="s">
        <v>8</v>
      </c>
      <c r="D5" s="3" t="s">
        <v>9</v>
      </c>
      <c r="E5" s="3"/>
      <c r="F5" s="1"/>
      <c r="G5" s="3">
        <v>100</v>
      </c>
      <c r="H5" s="8">
        <v>0</v>
      </c>
      <c r="I5" s="3" t="s">
        <v>10</v>
      </c>
      <c r="J5" s="3" t="s">
        <v>9</v>
      </c>
      <c r="K5" s="3"/>
      <c r="M5" s="52" t="s">
        <v>172</v>
      </c>
      <c r="N5" s="53"/>
      <c r="O5" s="53"/>
      <c r="P5" s="54"/>
    </row>
    <row r="6" spans="1:16">
      <c r="A6" s="3"/>
      <c r="B6" s="8">
        <v>1</v>
      </c>
      <c r="C6" s="3" t="s">
        <v>11</v>
      </c>
      <c r="D6" s="3" t="s">
        <v>9</v>
      </c>
      <c r="E6" s="3"/>
      <c r="F6" s="1"/>
      <c r="G6" s="3"/>
      <c r="H6" s="8">
        <v>1</v>
      </c>
      <c r="I6" s="3" t="s">
        <v>12</v>
      </c>
      <c r="J6" s="3" t="s">
        <v>9</v>
      </c>
      <c r="K6" s="3"/>
      <c r="M6" s="5" t="s">
        <v>86</v>
      </c>
      <c r="N6" s="6" t="s">
        <v>5</v>
      </c>
      <c r="O6" s="6" t="s">
        <v>87</v>
      </c>
      <c r="P6" s="6" t="s">
        <v>7</v>
      </c>
    </row>
    <row r="7" spans="1:16">
      <c r="A7" s="3"/>
      <c r="B7" s="8">
        <v>2</v>
      </c>
      <c r="C7" s="3" t="s">
        <v>13</v>
      </c>
      <c r="D7" s="3" t="s">
        <v>9</v>
      </c>
      <c r="E7" s="3"/>
      <c r="F7" s="1"/>
      <c r="G7" s="3"/>
      <c r="H7" s="8">
        <v>2</v>
      </c>
      <c r="I7" s="3" t="s">
        <v>14</v>
      </c>
      <c r="J7" s="3" t="s">
        <v>9</v>
      </c>
      <c r="K7" s="3"/>
      <c r="M7" s="10">
        <v>0</v>
      </c>
      <c r="N7" s="10" t="s">
        <v>171</v>
      </c>
      <c r="O7" s="10" t="s">
        <v>196</v>
      </c>
      <c r="P7" s="10"/>
    </row>
    <row r="8" spans="1:16">
      <c r="A8" s="3"/>
      <c r="B8" s="8">
        <v>3</v>
      </c>
      <c r="C8" s="3" t="s">
        <v>15</v>
      </c>
      <c r="D8" s="3" t="s">
        <v>9</v>
      </c>
      <c r="E8" s="3"/>
      <c r="F8" s="1"/>
      <c r="G8" s="3"/>
      <c r="H8" s="8">
        <v>3</v>
      </c>
      <c r="I8" s="3" t="s">
        <v>16</v>
      </c>
      <c r="J8" s="3" t="s">
        <v>9</v>
      </c>
      <c r="K8" s="3"/>
      <c r="M8" s="10">
        <f>M7+4</f>
        <v>4</v>
      </c>
      <c r="N8" s="10" t="s">
        <v>177</v>
      </c>
      <c r="O8" s="10" t="s">
        <v>117</v>
      </c>
      <c r="P8" s="10"/>
    </row>
    <row r="9" spans="1:16">
      <c r="A9" s="3"/>
      <c r="B9" s="8">
        <v>4</v>
      </c>
      <c r="C9" s="3" t="s">
        <v>17</v>
      </c>
      <c r="D9" s="3" t="s">
        <v>9</v>
      </c>
      <c r="E9" s="3"/>
      <c r="F9" s="1"/>
      <c r="G9" s="3"/>
      <c r="H9" s="8">
        <v>4</v>
      </c>
      <c r="I9" s="3" t="s">
        <v>18</v>
      </c>
      <c r="J9" s="3" t="s">
        <v>9</v>
      </c>
      <c r="K9" s="3"/>
      <c r="M9" s="10">
        <f>M8+4</f>
        <v>8</v>
      </c>
      <c r="N9" s="10" t="s">
        <v>176</v>
      </c>
      <c r="O9" s="10" t="s">
        <v>117</v>
      </c>
      <c r="P9" s="10"/>
    </row>
    <row r="10" spans="1:16">
      <c r="A10" s="3"/>
      <c r="B10" s="8">
        <v>5</v>
      </c>
      <c r="C10" s="3" t="s">
        <v>19</v>
      </c>
      <c r="D10" s="3" t="s">
        <v>9</v>
      </c>
      <c r="E10" s="3"/>
      <c r="F10" s="1"/>
      <c r="G10" s="3"/>
      <c r="H10" s="8">
        <v>5</v>
      </c>
      <c r="I10" s="3" t="s">
        <v>20</v>
      </c>
      <c r="J10" s="3" t="s">
        <v>9</v>
      </c>
      <c r="K10" s="3"/>
      <c r="M10" s="10">
        <f>M9+4</f>
        <v>12</v>
      </c>
      <c r="N10" s="10" t="s">
        <v>21</v>
      </c>
      <c r="O10" s="10" t="s">
        <v>204</v>
      </c>
      <c r="P10" s="10" t="s">
        <v>203</v>
      </c>
    </row>
    <row r="11" spans="1:16">
      <c r="A11" s="3"/>
      <c r="B11" s="8">
        <v>6</v>
      </c>
      <c r="C11" s="3" t="s">
        <v>21</v>
      </c>
      <c r="D11" s="3" t="s">
        <v>9</v>
      </c>
      <c r="E11" s="3"/>
      <c r="F11" s="1"/>
      <c r="G11" s="3"/>
      <c r="H11" s="8" t="s">
        <v>22</v>
      </c>
      <c r="I11" s="3" t="s">
        <v>21</v>
      </c>
      <c r="J11" s="3"/>
      <c r="K11" s="3"/>
      <c r="M11" s="10">
        <f>M10+4*10</f>
        <v>52</v>
      </c>
      <c r="N11" s="10"/>
      <c r="O11" s="10"/>
      <c r="P11" s="10"/>
    </row>
    <row r="12" spans="1:16">
      <c r="A12" s="3"/>
      <c r="B12" s="8">
        <v>7</v>
      </c>
      <c r="C12" s="3" t="s">
        <v>21</v>
      </c>
      <c r="D12" s="3" t="s">
        <v>9</v>
      </c>
      <c r="E12" s="3"/>
      <c r="F12" s="1"/>
      <c r="G12" s="3"/>
      <c r="H12" s="8">
        <v>8</v>
      </c>
      <c r="I12" s="3" t="s">
        <v>21</v>
      </c>
      <c r="J12" s="3" t="s">
        <v>9</v>
      </c>
      <c r="K12" s="3"/>
      <c r="M12" s="10"/>
      <c r="N12" s="10"/>
      <c r="O12" s="10"/>
      <c r="P12" s="10"/>
    </row>
    <row r="13" spans="1:16">
      <c r="A13" s="3"/>
      <c r="B13" s="8" t="s">
        <v>22</v>
      </c>
      <c r="C13" s="3"/>
      <c r="D13" s="3"/>
      <c r="E13" s="3"/>
      <c r="F13" s="1"/>
      <c r="G13" s="3"/>
      <c r="H13" s="8" t="s">
        <v>22</v>
      </c>
      <c r="I13" s="3" t="s">
        <v>21</v>
      </c>
      <c r="J13" s="3"/>
      <c r="K13" s="3"/>
      <c r="M13" s="10"/>
      <c r="N13" s="30"/>
      <c r="O13" s="10"/>
      <c r="P13" s="10"/>
    </row>
    <row r="14" spans="1:16">
      <c r="A14" s="3"/>
      <c r="B14" s="8">
        <v>15</v>
      </c>
      <c r="C14" s="3" t="s">
        <v>23</v>
      </c>
      <c r="D14" s="3" t="s">
        <v>9</v>
      </c>
      <c r="E14" s="3"/>
      <c r="F14" s="1"/>
      <c r="G14" s="3"/>
      <c r="H14" s="8">
        <v>15</v>
      </c>
      <c r="I14" s="3" t="s">
        <v>24</v>
      </c>
      <c r="J14" s="3"/>
      <c r="K14" s="3"/>
      <c r="M14" s="10"/>
      <c r="N14" s="10"/>
      <c r="O14" s="10"/>
      <c r="P14" s="10"/>
    </row>
    <row r="15" spans="1:16">
      <c r="A15" s="4">
        <f>A5+2</f>
        <v>102</v>
      </c>
      <c r="B15" s="9">
        <v>0</v>
      </c>
      <c r="C15" s="4" t="s">
        <v>25</v>
      </c>
      <c r="D15" s="4" t="s">
        <v>9</v>
      </c>
      <c r="E15" s="4"/>
      <c r="F15" s="1"/>
      <c r="G15" s="3">
        <f>G5+2</f>
        <v>102</v>
      </c>
      <c r="H15" s="3"/>
      <c r="I15" s="3"/>
      <c r="J15" s="3"/>
      <c r="K15" s="3"/>
    </row>
    <row r="16" spans="1:16">
      <c r="A16" s="4"/>
      <c r="B16" s="9">
        <v>1</v>
      </c>
      <c r="C16" s="4" t="s">
        <v>26</v>
      </c>
      <c r="D16" s="4" t="s">
        <v>9</v>
      </c>
      <c r="E16" s="4"/>
      <c r="F16" s="1"/>
      <c r="G16" s="3"/>
      <c r="H16" s="3"/>
      <c r="I16" s="3"/>
      <c r="J16" s="3"/>
      <c r="K16" s="3"/>
    </row>
    <row r="17" spans="1:11">
      <c r="A17" s="4"/>
      <c r="B17" s="9">
        <v>2</v>
      </c>
      <c r="C17" s="4" t="s">
        <v>27</v>
      </c>
      <c r="D17" s="4" t="s">
        <v>9</v>
      </c>
      <c r="E17" s="4"/>
      <c r="F17" s="1"/>
      <c r="G17" s="3"/>
      <c r="H17" s="3"/>
      <c r="I17" s="3"/>
      <c r="J17" s="3"/>
      <c r="K17" s="3"/>
    </row>
    <row r="18" spans="1:11">
      <c r="A18" s="4"/>
      <c r="B18" s="9">
        <v>3</v>
      </c>
      <c r="C18" s="4" t="s">
        <v>28</v>
      </c>
      <c r="D18" s="4" t="s">
        <v>9</v>
      </c>
      <c r="E18" s="4"/>
      <c r="F18" s="1"/>
      <c r="G18" s="3"/>
      <c r="H18" s="3"/>
      <c r="I18" s="3"/>
      <c r="J18" s="3"/>
      <c r="K18" s="3"/>
    </row>
    <row r="19" spans="1:11">
      <c r="A19" s="4"/>
      <c r="B19" s="9">
        <v>4</v>
      </c>
      <c r="C19" s="4" t="s">
        <v>29</v>
      </c>
      <c r="D19" s="4" t="s">
        <v>9</v>
      </c>
      <c r="E19" s="4"/>
      <c r="F19" s="1"/>
      <c r="G19" s="3"/>
      <c r="H19" s="3"/>
      <c r="I19" s="3"/>
      <c r="J19" s="3"/>
      <c r="K19" s="3"/>
    </row>
    <row r="20" spans="1:11">
      <c r="A20" s="4"/>
      <c r="B20" s="9">
        <v>5</v>
      </c>
      <c r="C20" s="4" t="s">
        <v>30</v>
      </c>
      <c r="D20" s="4" t="s">
        <v>9</v>
      </c>
      <c r="E20" s="4"/>
      <c r="F20" s="1"/>
      <c r="G20" s="3"/>
      <c r="H20" s="3"/>
      <c r="I20" s="3"/>
      <c r="J20" s="3"/>
      <c r="K20" s="3"/>
    </row>
    <row r="21" spans="1:11">
      <c r="A21" s="4"/>
      <c r="B21" s="9">
        <v>6</v>
      </c>
      <c r="C21" s="4" t="s">
        <v>31</v>
      </c>
      <c r="D21" s="4" t="s">
        <v>9</v>
      </c>
      <c r="E21" s="4"/>
      <c r="F21" s="1"/>
      <c r="G21" s="3"/>
      <c r="H21" s="3"/>
      <c r="I21" s="3"/>
      <c r="J21" s="3"/>
      <c r="K21" s="3"/>
    </row>
    <row r="22" spans="1:11">
      <c r="A22" s="4"/>
      <c r="B22" s="9">
        <v>7</v>
      </c>
      <c r="C22" s="4" t="s">
        <v>32</v>
      </c>
      <c r="D22" s="4" t="s">
        <v>9</v>
      </c>
      <c r="E22" s="4"/>
      <c r="F22" s="1"/>
      <c r="G22" s="3"/>
      <c r="H22" s="3"/>
      <c r="I22" s="3"/>
      <c r="J22" s="3"/>
      <c r="K22" s="3"/>
    </row>
    <row r="23" spans="1:11">
      <c r="A23" s="4"/>
      <c r="B23" s="9" t="s">
        <v>33</v>
      </c>
      <c r="C23" s="4" t="s">
        <v>21</v>
      </c>
      <c r="D23" s="4"/>
      <c r="E23" s="4"/>
      <c r="F23" s="1"/>
      <c r="G23" s="3"/>
      <c r="H23" s="3"/>
      <c r="I23" s="3"/>
      <c r="J23" s="3"/>
      <c r="K23" s="3"/>
    </row>
    <row r="24" spans="1:11">
      <c r="A24" s="4"/>
      <c r="B24" s="9">
        <v>15</v>
      </c>
      <c r="C24" s="4"/>
      <c r="D24" s="4" t="s">
        <v>9</v>
      </c>
      <c r="E24" s="4"/>
      <c r="F24" s="1"/>
      <c r="G24" s="3"/>
      <c r="H24" s="3"/>
      <c r="I24" s="3"/>
      <c r="J24" s="3"/>
      <c r="K24" s="3"/>
    </row>
    <row r="25" spans="1:11">
      <c r="A25" s="55" t="s">
        <v>34</v>
      </c>
      <c r="B25" s="55"/>
      <c r="C25" s="55"/>
      <c r="D25" s="55"/>
      <c r="E25" s="55"/>
      <c r="F25" s="1"/>
      <c r="G25" s="53" t="s">
        <v>34</v>
      </c>
      <c r="H25" s="53"/>
      <c r="I25" s="53"/>
      <c r="J25" s="53"/>
      <c r="K25" s="53"/>
    </row>
    <row r="26" spans="1:11">
      <c r="A26" s="10">
        <f>A15+12</f>
        <v>114</v>
      </c>
      <c r="B26" s="11">
        <v>0</v>
      </c>
      <c r="C26" s="10" t="s">
        <v>35</v>
      </c>
      <c r="D26" s="10" t="s">
        <v>9</v>
      </c>
      <c r="E26" s="10" t="s">
        <v>36</v>
      </c>
      <c r="F26" s="1"/>
      <c r="G26" s="10">
        <f>G15+12</f>
        <v>114</v>
      </c>
      <c r="H26" s="11">
        <v>0</v>
      </c>
      <c r="I26" s="10" t="s">
        <v>37</v>
      </c>
      <c r="J26" s="10"/>
      <c r="K26" s="10"/>
    </row>
    <row r="27" spans="1:11">
      <c r="A27" s="10"/>
      <c r="B27" s="11" t="s">
        <v>33</v>
      </c>
      <c r="C27" s="10"/>
      <c r="D27" s="10"/>
      <c r="E27" s="10"/>
      <c r="F27" s="1"/>
      <c r="G27" s="10"/>
      <c r="H27" s="11">
        <v>1</v>
      </c>
      <c r="I27" s="10" t="s">
        <v>38</v>
      </c>
      <c r="J27" s="10"/>
      <c r="K27" s="10"/>
    </row>
    <row r="28" spans="1:11">
      <c r="A28" s="10">
        <f>A26+2</f>
        <v>116</v>
      </c>
      <c r="B28" s="11"/>
      <c r="C28" s="10" t="s">
        <v>39</v>
      </c>
      <c r="D28" s="10" t="s">
        <v>40</v>
      </c>
      <c r="E28" s="10"/>
      <c r="F28" s="1"/>
      <c r="G28" s="10"/>
      <c r="H28" s="11">
        <v>2</v>
      </c>
      <c r="I28" s="10" t="s">
        <v>41</v>
      </c>
      <c r="J28" s="10"/>
      <c r="K28" s="10"/>
    </row>
    <row r="29" spans="1:11">
      <c r="A29" s="10">
        <f>A28+2</f>
        <v>118</v>
      </c>
      <c r="B29" s="11"/>
      <c r="C29" s="10" t="s">
        <v>42</v>
      </c>
      <c r="D29" s="10" t="s">
        <v>43</v>
      </c>
      <c r="E29" s="10"/>
      <c r="F29" s="1"/>
      <c r="G29" s="10"/>
      <c r="H29" s="11" t="s">
        <v>33</v>
      </c>
      <c r="I29" s="10"/>
      <c r="J29" s="10"/>
      <c r="K29" s="10"/>
    </row>
    <row r="30" spans="1:11">
      <c r="A30" s="10">
        <f>A29+42</f>
        <v>160</v>
      </c>
      <c r="B30" s="11"/>
      <c r="C30" s="10" t="s">
        <v>21</v>
      </c>
      <c r="D30" s="10"/>
      <c r="E30" s="10"/>
      <c r="F30" s="1"/>
      <c r="G30" s="10">
        <f>G26+2</f>
        <v>116</v>
      </c>
      <c r="H30" s="11"/>
      <c r="I30" s="10" t="s">
        <v>44</v>
      </c>
      <c r="J30" s="10" t="s">
        <v>40</v>
      </c>
      <c r="K30" s="10"/>
    </row>
    <row r="31" spans="1:11">
      <c r="A31" s="10"/>
      <c r="B31" s="11"/>
      <c r="C31" s="10"/>
      <c r="D31" s="10"/>
      <c r="E31" s="10"/>
      <c r="F31" s="1"/>
      <c r="G31" s="10">
        <f>G30+2</f>
        <v>118</v>
      </c>
      <c r="H31" s="11"/>
      <c r="I31" s="10" t="s">
        <v>21</v>
      </c>
      <c r="J31" s="10"/>
      <c r="K31" s="10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2">
        <f>A30+100</f>
        <v>260</v>
      </c>
      <c r="B33" s="13">
        <v>0</v>
      </c>
      <c r="C33" s="12" t="s">
        <v>166</v>
      </c>
      <c r="D33" s="12" t="s">
        <v>9</v>
      </c>
      <c r="E33" s="12" t="s">
        <v>36</v>
      </c>
      <c r="F33" s="1"/>
      <c r="G33" s="12">
        <f>G31+100</f>
        <v>218</v>
      </c>
      <c r="H33" s="13">
        <v>0</v>
      </c>
      <c r="I33" s="12" t="s">
        <v>154</v>
      </c>
      <c r="J33" s="12"/>
      <c r="K33" s="12"/>
    </row>
    <row r="34" spans="1:11">
      <c r="A34" s="12"/>
      <c r="B34" s="13" t="s">
        <v>33</v>
      </c>
      <c r="C34" s="12"/>
      <c r="D34" s="12"/>
      <c r="E34" s="12"/>
      <c r="F34" s="1"/>
      <c r="G34" s="12"/>
      <c r="H34" s="13">
        <v>1</v>
      </c>
      <c r="I34" s="12" t="s">
        <v>155</v>
      </c>
      <c r="J34" s="12"/>
      <c r="K34" s="12"/>
    </row>
    <row r="35" spans="1:11">
      <c r="A35" s="12">
        <f>A33+2</f>
        <v>262</v>
      </c>
      <c r="B35" s="13"/>
      <c r="C35" s="12" t="s">
        <v>39</v>
      </c>
      <c r="D35" s="12" t="s">
        <v>40</v>
      </c>
      <c r="E35" s="12"/>
      <c r="F35" s="1"/>
      <c r="G35" s="12"/>
      <c r="H35" s="13">
        <v>2</v>
      </c>
      <c r="I35" s="12" t="s">
        <v>156</v>
      </c>
      <c r="J35" s="12"/>
      <c r="K35" s="12"/>
    </row>
    <row r="36" spans="1:11">
      <c r="A36" s="12">
        <f>A35+2</f>
        <v>264</v>
      </c>
      <c r="B36" s="13"/>
      <c r="C36" s="12" t="s">
        <v>42</v>
      </c>
      <c r="D36" s="12" t="s">
        <v>43</v>
      </c>
      <c r="E36" s="12"/>
      <c r="F36" s="1"/>
      <c r="G36" s="12"/>
      <c r="H36" s="13" t="s">
        <v>33</v>
      </c>
      <c r="I36" s="12"/>
      <c r="J36" s="12"/>
      <c r="K36" s="12"/>
    </row>
    <row r="37" spans="1:11">
      <c r="A37" s="12">
        <f>A36+42</f>
        <v>306</v>
      </c>
      <c r="B37" s="13"/>
      <c r="C37" s="12" t="s">
        <v>21</v>
      </c>
      <c r="D37" s="12"/>
      <c r="E37" s="12"/>
      <c r="F37" s="1"/>
      <c r="G37" s="12">
        <f>G33+2</f>
        <v>220</v>
      </c>
      <c r="H37" s="13"/>
      <c r="I37" s="12" t="s">
        <v>44</v>
      </c>
      <c r="J37" s="12" t="s">
        <v>40</v>
      </c>
      <c r="K37" s="12"/>
    </row>
    <row r="38" spans="1:11">
      <c r="A38" s="12"/>
      <c r="B38" s="13"/>
      <c r="C38" s="12"/>
      <c r="D38" s="12"/>
      <c r="E38" s="12"/>
      <c r="F38" s="1"/>
      <c r="G38" s="12">
        <f>G37+2</f>
        <v>222</v>
      </c>
      <c r="H38" s="13"/>
      <c r="I38" s="12" t="s">
        <v>21</v>
      </c>
      <c r="J38" s="12"/>
      <c r="K38" s="12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4">
        <f>A37+100</f>
        <v>406</v>
      </c>
      <c r="B40" s="15">
        <v>0</v>
      </c>
      <c r="C40" s="14" t="s">
        <v>167</v>
      </c>
      <c r="D40" s="14" t="s">
        <v>9</v>
      </c>
      <c r="E40" s="14" t="s">
        <v>50</v>
      </c>
      <c r="F40" s="1"/>
      <c r="G40" s="14">
        <f>G38+100</f>
        <v>322</v>
      </c>
      <c r="H40" s="15">
        <v>0</v>
      </c>
      <c r="I40" s="14" t="s">
        <v>157</v>
      </c>
      <c r="J40" s="14"/>
      <c r="K40" s="14"/>
    </row>
    <row r="41" spans="1:11">
      <c r="A41" s="14"/>
      <c r="B41" s="15" t="s">
        <v>33</v>
      </c>
      <c r="C41" s="14"/>
      <c r="D41" s="14"/>
      <c r="E41" s="14"/>
      <c r="F41" s="1"/>
      <c r="G41" s="14"/>
      <c r="H41" s="15">
        <v>1</v>
      </c>
      <c r="I41" s="14" t="s">
        <v>158</v>
      </c>
      <c r="J41" s="14"/>
      <c r="K41" s="14"/>
    </row>
    <row r="42" spans="1:11">
      <c r="A42" s="14">
        <f>A40+2</f>
        <v>408</v>
      </c>
      <c r="B42" s="15"/>
      <c r="C42" s="14" t="s">
        <v>39</v>
      </c>
      <c r="D42" s="14" t="s">
        <v>40</v>
      </c>
      <c r="E42" s="14"/>
      <c r="F42" s="1"/>
      <c r="G42" s="14"/>
      <c r="H42" s="15">
        <v>2</v>
      </c>
      <c r="I42" s="14" t="s">
        <v>159</v>
      </c>
      <c r="J42" s="14"/>
      <c r="K42" s="14"/>
    </row>
    <row r="43" spans="1:11">
      <c r="A43" s="14">
        <f>A42+2</f>
        <v>410</v>
      </c>
      <c r="B43" s="15"/>
      <c r="C43" s="14" t="s">
        <v>42</v>
      </c>
      <c r="D43" s="14" t="s">
        <v>43</v>
      </c>
      <c r="E43" s="14"/>
      <c r="F43" s="1"/>
      <c r="G43" s="14"/>
      <c r="H43" s="15" t="s">
        <v>33</v>
      </c>
      <c r="I43" s="14"/>
      <c r="J43" s="14"/>
      <c r="K43" s="14"/>
    </row>
    <row r="44" spans="1:11">
      <c r="A44" s="14">
        <f>A43+42</f>
        <v>452</v>
      </c>
      <c r="B44" s="15"/>
      <c r="C44" s="14" t="s">
        <v>214</v>
      </c>
      <c r="D44" s="14" t="s">
        <v>40</v>
      </c>
      <c r="E44" s="14"/>
      <c r="F44" s="1"/>
      <c r="G44" s="14">
        <f>G40+2</f>
        <v>324</v>
      </c>
      <c r="H44" s="15"/>
      <c r="I44" s="14" t="s">
        <v>44</v>
      </c>
      <c r="J44" s="14" t="s">
        <v>40</v>
      </c>
      <c r="K44" s="14"/>
    </row>
    <row r="45" spans="1:11">
      <c r="A45" s="14">
        <f t="shared" ref="A45:A50" si="0">A44+2</f>
        <v>454</v>
      </c>
      <c r="B45" s="15"/>
      <c r="C45" s="14" t="s">
        <v>215</v>
      </c>
      <c r="D45" s="14" t="s">
        <v>40</v>
      </c>
      <c r="E45" s="14"/>
      <c r="F45" s="1"/>
      <c r="G45" s="14">
        <f>G44+2</f>
        <v>326</v>
      </c>
      <c r="H45" s="15"/>
      <c r="I45" s="14" t="s">
        <v>21</v>
      </c>
      <c r="J45" s="14"/>
      <c r="K45" s="14"/>
    </row>
    <row r="46" spans="1:11">
      <c r="A46" s="14">
        <f t="shared" si="0"/>
        <v>456</v>
      </c>
      <c r="B46" s="15"/>
      <c r="C46" s="14" t="s">
        <v>216</v>
      </c>
      <c r="D46" s="14" t="s">
        <v>40</v>
      </c>
      <c r="E46" s="14"/>
      <c r="F46" s="1"/>
      <c r="G46" s="14"/>
      <c r="H46" s="15"/>
      <c r="I46" s="14"/>
      <c r="J46" s="14"/>
      <c r="K46" s="14"/>
    </row>
    <row r="47" spans="1:11">
      <c r="A47" s="14">
        <f t="shared" si="0"/>
        <v>458</v>
      </c>
      <c r="B47" s="15"/>
      <c r="C47" s="14" t="s">
        <v>217</v>
      </c>
      <c r="D47" s="14" t="s">
        <v>40</v>
      </c>
      <c r="E47" s="14"/>
      <c r="F47" s="1"/>
      <c r="G47" s="14"/>
      <c r="H47" s="15"/>
      <c r="I47" s="14"/>
      <c r="J47" s="14"/>
      <c r="K47" s="14"/>
    </row>
    <row r="48" spans="1:11">
      <c r="A48" s="14">
        <f t="shared" si="0"/>
        <v>460</v>
      </c>
      <c r="B48" s="15"/>
      <c r="C48" s="14" t="s">
        <v>218</v>
      </c>
      <c r="D48" s="14" t="s">
        <v>40</v>
      </c>
      <c r="E48" s="14"/>
      <c r="F48" s="1"/>
      <c r="G48" s="14"/>
      <c r="H48" s="15"/>
      <c r="I48" s="14"/>
      <c r="J48" s="14"/>
      <c r="K48" s="14"/>
    </row>
    <row r="49" spans="1:11">
      <c r="A49" s="14">
        <f t="shared" si="0"/>
        <v>462</v>
      </c>
      <c r="B49" s="15"/>
      <c r="C49" s="14" t="s">
        <v>165</v>
      </c>
      <c r="D49" s="14" t="s">
        <v>40</v>
      </c>
      <c r="E49" s="14"/>
      <c r="F49" s="1"/>
      <c r="G49" s="14"/>
      <c r="H49" s="15"/>
      <c r="I49" s="14"/>
      <c r="J49" s="14"/>
      <c r="K49" s="14"/>
    </row>
    <row r="50" spans="1:11">
      <c r="A50" s="14">
        <f t="shared" si="0"/>
        <v>464</v>
      </c>
      <c r="B50" s="15"/>
      <c r="C50" s="14" t="s">
        <v>173</v>
      </c>
      <c r="D50" s="14" t="s">
        <v>200</v>
      </c>
      <c r="E50" s="14" t="s">
        <v>175</v>
      </c>
      <c r="F50" s="1"/>
      <c r="G50" s="14"/>
      <c r="H50" s="15"/>
      <c r="I50" s="14"/>
      <c r="J50" s="14"/>
      <c r="K50" s="14"/>
    </row>
    <row r="51" spans="1:11">
      <c r="A51" s="14">
        <f>A50+20*52</f>
        <v>1504</v>
      </c>
      <c r="B51" s="14"/>
      <c r="C51" s="14" t="s">
        <v>170</v>
      </c>
      <c r="D51" s="14"/>
      <c r="E51" s="14"/>
      <c r="G51" s="14"/>
      <c r="H51" s="14"/>
      <c r="I51" s="14"/>
      <c r="J51" s="14"/>
      <c r="K51" s="14"/>
    </row>
  </sheetData>
  <mergeCells count="5">
    <mergeCell ref="M5:P5"/>
    <mergeCell ref="A3:E3"/>
    <mergeCell ref="G3:K3"/>
    <mergeCell ref="A25:E25"/>
    <mergeCell ref="G25:K2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opLeftCell="A10" workbookViewId="0">
      <selection activeCell="O43" sqref="O43"/>
    </sheetView>
  </sheetViews>
  <sheetFormatPr defaultRowHeight="14.25"/>
  <cols>
    <col min="1" max="1" width="9.75" bestFit="1" customWidth="1"/>
    <col min="2" max="2" width="6.125" bestFit="1" customWidth="1"/>
    <col min="3" max="3" width="14.375" bestFit="1" customWidth="1"/>
    <col min="4" max="4" width="11.125" bestFit="1" customWidth="1"/>
    <col min="5" max="5" width="49.375" customWidth="1"/>
    <col min="7" max="7" width="6.625" bestFit="1" customWidth="1"/>
    <col min="8" max="8" width="4.5" bestFit="1" customWidth="1"/>
    <col min="9" max="9" width="16.25" bestFit="1" customWidth="1"/>
    <col min="10" max="10" width="8.5" bestFit="1" customWidth="1"/>
    <col min="11" max="11" width="37.625" customWidth="1"/>
    <col min="13" max="13" width="7.125" style="46" bestFit="1" customWidth="1"/>
    <col min="14" max="14" width="3.125" customWidth="1"/>
    <col min="15" max="15" width="16.625" bestFit="1" customWidth="1"/>
    <col min="16" max="16" width="5.25" style="37" bestFit="1" customWidth="1"/>
    <col min="17" max="17" width="35" bestFit="1" customWidth="1"/>
  </cols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7"/>
      <c r="N1" s="1"/>
      <c r="O1" s="1"/>
      <c r="P1" s="44"/>
      <c r="Q1" s="1"/>
    </row>
    <row r="2" spans="1:17">
      <c r="A2" s="1" t="s">
        <v>1</v>
      </c>
      <c r="B2" s="17">
        <v>200</v>
      </c>
      <c r="C2" s="1"/>
      <c r="D2" s="1"/>
      <c r="E2" s="1"/>
      <c r="F2" s="1"/>
      <c r="G2" s="1" t="s">
        <v>191</v>
      </c>
      <c r="H2" s="1">
        <v>201</v>
      </c>
      <c r="I2" s="1"/>
      <c r="J2" s="1"/>
      <c r="K2" s="1"/>
      <c r="L2" s="1"/>
      <c r="M2" s="17"/>
      <c r="N2" s="1"/>
      <c r="O2" s="1"/>
      <c r="P2" s="44"/>
      <c r="Q2" s="1"/>
    </row>
    <row r="3" spans="1:17">
      <c r="A3" s="51" t="s">
        <v>2</v>
      </c>
      <c r="B3" s="51"/>
      <c r="C3" s="51"/>
      <c r="D3" s="51"/>
      <c r="E3" s="51"/>
      <c r="F3" s="1"/>
      <c r="G3" s="51" t="s">
        <v>3</v>
      </c>
      <c r="H3" s="51"/>
      <c r="I3" s="51"/>
      <c r="J3" s="51"/>
      <c r="K3" s="51"/>
      <c r="L3" s="1"/>
    </row>
    <row r="4" spans="1:17">
      <c r="A4" s="2" t="s">
        <v>4</v>
      </c>
      <c r="B4" s="1"/>
      <c r="C4" s="2" t="s">
        <v>5</v>
      </c>
      <c r="D4" s="2" t="s">
        <v>6</v>
      </c>
      <c r="E4" s="2" t="s">
        <v>7</v>
      </c>
      <c r="F4" s="1"/>
      <c r="G4" s="2" t="s">
        <v>4</v>
      </c>
      <c r="H4" s="1"/>
      <c r="I4" s="2" t="s">
        <v>5</v>
      </c>
      <c r="J4" s="2" t="s">
        <v>6</v>
      </c>
      <c r="K4" s="2" t="s">
        <v>7</v>
      </c>
      <c r="L4" s="1"/>
    </row>
    <row r="5" spans="1:17">
      <c r="A5" s="3">
        <v>100</v>
      </c>
      <c r="B5" s="18">
        <v>0</v>
      </c>
      <c r="C5" s="3" t="s">
        <v>8</v>
      </c>
      <c r="D5" s="3" t="s">
        <v>9</v>
      </c>
      <c r="E5" s="3"/>
      <c r="F5" s="1"/>
      <c r="G5" s="3">
        <v>100</v>
      </c>
      <c r="H5" s="18">
        <v>0</v>
      </c>
      <c r="I5" s="3" t="s">
        <v>10</v>
      </c>
      <c r="J5" s="3" t="s">
        <v>9</v>
      </c>
      <c r="K5" s="3"/>
      <c r="L5" s="1"/>
      <c r="M5" s="60" t="s">
        <v>91</v>
      </c>
      <c r="N5" s="61"/>
      <c r="O5" s="61"/>
      <c r="P5" s="61"/>
      <c r="Q5" s="62"/>
    </row>
    <row r="6" spans="1:17">
      <c r="A6" s="3"/>
      <c r="B6" s="18">
        <v>1</v>
      </c>
      <c r="C6" s="3" t="s">
        <v>11</v>
      </c>
      <c r="D6" s="3" t="s">
        <v>9</v>
      </c>
      <c r="E6" s="3"/>
      <c r="F6" s="1"/>
      <c r="G6" s="3"/>
      <c r="H6" s="18">
        <v>1</v>
      </c>
      <c r="I6" s="3" t="s">
        <v>12</v>
      </c>
      <c r="J6" s="3" t="s">
        <v>9</v>
      </c>
      <c r="K6" s="3"/>
      <c r="L6" s="1"/>
      <c r="M6" s="45" t="s">
        <v>4</v>
      </c>
      <c r="N6" s="6"/>
      <c r="O6" s="5" t="s">
        <v>5</v>
      </c>
      <c r="P6" s="45" t="s">
        <v>87</v>
      </c>
      <c r="Q6" s="5" t="s">
        <v>7</v>
      </c>
    </row>
    <row r="7" spans="1:17">
      <c r="A7" s="3"/>
      <c r="B7" s="18">
        <v>2</v>
      </c>
      <c r="C7" s="3" t="s">
        <v>13</v>
      </c>
      <c r="D7" s="3" t="s">
        <v>9</v>
      </c>
      <c r="E7" s="3"/>
      <c r="F7" s="1"/>
      <c r="G7" s="3"/>
      <c r="H7" s="18">
        <v>2</v>
      </c>
      <c r="I7" s="3" t="s">
        <v>14</v>
      </c>
      <c r="J7" s="3" t="s">
        <v>9</v>
      </c>
      <c r="K7" s="3"/>
      <c r="L7" s="1"/>
      <c r="M7" s="47">
        <v>0</v>
      </c>
      <c r="N7" s="6">
        <v>0</v>
      </c>
      <c r="O7" s="6" t="s">
        <v>92</v>
      </c>
      <c r="P7" s="45" t="s">
        <v>9</v>
      </c>
      <c r="Q7" s="6" t="s">
        <v>93</v>
      </c>
    </row>
    <row r="8" spans="1:17">
      <c r="A8" s="3"/>
      <c r="B8" s="18">
        <v>3</v>
      </c>
      <c r="C8" s="3" t="s">
        <v>15</v>
      </c>
      <c r="D8" s="3" t="s">
        <v>9</v>
      </c>
      <c r="E8" s="3"/>
      <c r="F8" s="1"/>
      <c r="G8" s="3"/>
      <c r="H8" s="18">
        <v>3</v>
      </c>
      <c r="I8" s="3" t="s">
        <v>16</v>
      </c>
      <c r="J8" s="3" t="s">
        <v>9</v>
      </c>
      <c r="K8" s="3"/>
      <c r="L8" s="1"/>
      <c r="M8" s="47"/>
      <c r="N8" s="6">
        <v>1</v>
      </c>
      <c r="O8" s="6" t="s">
        <v>94</v>
      </c>
      <c r="P8" s="45" t="s">
        <v>9</v>
      </c>
      <c r="Q8" s="6" t="s">
        <v>95</v>
      </c>
    </row>
    <row r="9" spans="1:17">
      <c r="A9" s="3"/>
      <c r="B9" s="18">
        <v>4</v>
      </c>
      <c r="C9" s="3" t="s">
        <v>17</v>
      </c>
      <c r="D9" s="3" t="s">
        <v>9</v>
      </c>
      <c r="E9" s="3"/>
      <c r="F9" s="1"/>
      <c r="G9" s="3"/>
      <c r="H9" s="18">
        <v>4</v>
      </c>
      <c r="I9" s="3" t="s">
        <v>18</v>
      </c>
      <c r="J9" s="3" t="s">
        <v>9</v>
      </c>
      <c r="K9" s="3"/>
      <c r="L9" s="1"/>
      <c r="M9" s="47"/>
      <c r="N9" s="6">
        <v>2</v>
      </c>
      <c r="O9" s="6" t="s">
        <v>96</v>
      </c>
      <c r="P9" s="45" t="s">
        <v>9</v>
      </c>
      <c r="Q9" s="6" t="s">
        <v>97</v>
      </c>
    </row>
    <row r="10" spans="1:17">
      <c r="A10" s="3"/>
      <c r="B10" s="18">
        <v>5</v>
      </c>
      <c r="C10" s="3" t="s">
        <v>19</v>
      </c>
      <c r="D10" s="3" t="s">
        <v>9</v>
      </c>
      <c r="E10" s="3"/>
      <c r="F10" s="1"/>
      <c r="G10" s="3"/>
      <c r="H10" s="18">
        <v>5</v>
      </c>
      <c r="I10" s="3" t="s">
        <v>20</v>
      </c>
      <c r="J10" s="3" t="s">
        <v>9</v>
      </c>
      <c r="K10" s="3"/>
      <c r="L10" s="1"/>
      <c r="M10" s="47"/>
      <c r="N10" s="6">
        <v>3</v>
      </c>
      <c r="O10" s="6" t="s">
        <v>98</v>
      </c>
      <c r="P10" s="45" t="s">
        <v>9</v>
      </c>
      <c r="Q10" s="6" t="s">
        <v>99</v>
      </c>
    </row>
    <row r="11" spans="1:17">
      <c r="A11" s="3"/>
      <c r="B11" s="18">
        <v>6</v>
      </c>
      <c r="C11" s="3" t="s">
        <v>21</v>
      </c>
      <c r="D11" s="3" t="s">
        <v>9</v>
      </c>
      <c r="E11" s="3"/>
      <c r="F11" s="1"/>
      <c r="G11" s="3"/>
      <c r="H11" s="18" t="s">
        <v>22</v>
      </c>
      <c r="I11" s="3" t="s">
        <v>21</v>
      </c>
      <c r="J11" s="3"/>
      <c r="K11" s="3"/>
      <c r="L11" s="1"/>
      <c r="M11" s="47"/>
      <c r="N11" s="6">
        <v>4</v>
      </c>
      <c r="O11" s="6" t="s">
        <v>100</v>
      </c>
      <c r="P11" s="45" t="s">
        <v>9</v>
      </c>
      <c r="Q11" s="6" t="s">
        <v>101</v>
      </c>
    </row>
    <row r="12" spans="1:17">
      <c r="A12" s="3"/>
      <c r="B12" s="18">
        <v>7</v>
      </c>
      <c r="C12" s="3" t="s">
        <v>21</v>
      </c>
      <c r="D12" s="3" t="s">
        <v>9</v>
      </c>
      <c r="E12" s="3"/>
      <c r="F12" s="1"/>
      <c r="G12" s="3"/>
      <c r="H12" s="18" t="s">
        <v>33</v>
      </c>
      <c r="I12" s="3" t="s">
        <v>21</v>
      </c>
      <c r="J12" s="3" t="s">
        <v>9</v>
      </c>
      <c r="K12" s="3"/>
      <c r="L12" s="1"/>
      <c r="M12" s="47"/>
      <c r="N12" s="6">
        <v>5</v>
      </c>
      <c r="O12" s="6" t="s">
        <v>102</v>
      </c>
      <c r="P12" s="45" t="s">
        <v>9</v>
      </c>
      <c r="Q12" s="6" t="s">
        <v>97</v>
      </c>
    </row>
    <row r="13" spans="1:17">
      <c r="A13" s="3"/>
      <c r="B13" s="18" t="s">
        <v>22</v>
      </c>
      <c r="C13" s="3"/>
      <c r="D13" s="3"/>
      <c r="E13" s="3"/>
      <c r="F13" s="1"/>
      <c r="G13" s="3"/>
      <c r="H13" s="18" t="s">
        <v>22</v>
      </c>
      <c r="I13" s="3" t="s">
        <v>21</v>
      </c>
      <c r="J13" s="3"/>
      <c r="K13" s="3"/>
      <c r="L13" s="1"/>
      <c r="M13" s="47"/>
      <c r="N13" s="6">
        <v>6</v>
      </c>
      <c r="O13" s="6" t="s">
        <v>103</v>
      </c>
      <c r="P13" s="45" t="s">
        <v>9</v>
      </c>
      <c r="Q13" s="6" t="s">
        <v>97</v>
      </c>
    </row>
    <row r="14" spans="1:17">
      <c r="A14" s="3"/>
      <c r="B14" s="18">
        <v>15</v>
      </c>
      <c r="C14" s="3" t="s">
        <v>23</v>
      </c>
      <c r="D14" s="3" t="s">
        <v>9</v>
      </c>
      <c r="E14" s="3"/>
      <c r="F14" s="1"/>
      <c r="G14" s="3"/>
      <c r="H14" s="18">
        <v>15</v>
      </c>
      <c r="I14" s="3" t="s">
        <v>24</v>
      </c>
      <c r="J14" s="3"/>
      <c r="K14" s="3"/>
      <c r="L14" s="1"/>
      <c r="M14" s="47"/>
      <c r="N14" s="6">
        <v>7</v>
      </c>
      <c r="O14" s="6" t="s">
        <v>104</v>
      </c>
      <c r="P14" s="45" t="s">
        <v>9</v>
      </c>
      <c r="Q14" s="6" t="s">
        <v>97</v>
      </c>
    </row>
    <row r="15" spans="1:17">
      <c r="A15" s="4">
        <f>A5+2</f>
        <v>102</v>
      </c>
      <c r="B15" s="19">
        <v>0</v>
      </c>
      <c r="C15" s="4" t="s">
        <v>25</v>
      </c>
      <c r="D15" s="4" t="s">
        <v>9</v>
      </c>
      <c r="E15" s="4"/>
      <c r="F15" s="1"/>
      <c r="G15" s="3">
        <f>G5+2</f>
        <v>102</v>
      </c>
      <c r="H15" s="3"/>
      <c r="I15" s="3"/>
      <c r="J15" s="3"/>
      <c r="K15" s="3"/>
      <c r="L15" s="1"/>
      <c r="M15" s="47">
        <v>1</v>
      </c>
      <c r="N15" s="6">
        <v>0</v>
      </c>
      <c r="O15" s="6" t="s">
        <v>105</v>
      </c>
      <c r="P15" s="45" t="s">
        <v>9</v>
      </c>
      <c r="Q15" s="6" t="s">
        <v>97</v>
      </c>
    </row>
    <row r="16" spans="1:17">
      <c r="A16" s="4"/>
      <c r="B16" s="19">
        <v>1</v>
      </c>
      <c r="C16" s="4" t="s">
        <v>26</v>
      </c>
      <c r="D16" s="4" t="s">
        <v>9</v>
      </c>
      <c r="E16" s="4"/>
      <c r="F16" s="1"/>
      <c r="G16" s="3"/>
      <c r="H16" s="3"/>
      <c r="I16" s="3"/>
      <c r="J16" s="3"/>
      <c r="K16" s="3"/>
      <c r="L16" s="1"/>
      <c r="M16" s="47"/>
      <c r="N16" s="6">
        <v>1</v>
      </c>
      <c r="O16" s="6" t="s">
        <v>106</v>
      </c>
      <c r="P16" s="45" t="s">
        <v>9</v>
      </c>
      <c r="Q16" s="6" t="s">
        <v>97</v>
      </c>
    </row>
    <row r="17" spans="1:17">
      <c r="A17" s="4"/>
      <c r="B17" s="19">
        <v>2</v>
      </c>
      <c r="C17" s="4" t="s">
        <v>27</v>
      </c>
      <c r="D17" s="4" t="s">
        <v>9</v>
      </c>
      <c r="E17" s="4"/>
      <c r="F17" s="1"/>
      <c r="G17" s="3"/>
      <c r="H17" s="3"/>
      <c r="I17" s="3"/>
      <c r="J17" s="3"/>
      <c r="K17" s="3"/>
      <c r="L17" s="1"/>
      <c r="M17" s="47"/>
      <c r="N17" s="6">
        <v>2</v>
      </c>
      <c r="O17" s="6" t="s">
        <v>107</v>
      </c>
      <c r="P17" s="45" t="s">
        <v>9</v>
      </c>
      <c r="Q17" s="6" t="s">
        <v>97</v>
      </c>
    </row>
    <row r="18" spans="1:17">
      <c r="A18" s="4"/>
      <c r="B18" s="19">
        <v>3</v>
      </c>
      <c r="C18" s="4" t="s">
        <v>28</v>
      </c>
      <c r="D18" s="4" t="s">
        <v>9</v>
      </c>
      <c r="E18" s="4"/>
      <c r="F18" s="1"/>
      <c r="G18" s="3"/>
      <c r="H18" s="3"/>
      <c r="I18" s="3"/>
      <c r="J18" s="3"/>
      <c r="K18" s="3"/>
      <c r="L18" s="1"/>
      <c r="M18" s="47"/>
      <c r="N18" s="6">
        <v>3</v>
      </c>
      <c r="O18" s="6" t="s">
        <v>108</v>
      </c>
      <c r="P18" s="45" t="s">
        <v>9</v>
      </c>
      <c r="Q18" s="6" t="s">
        <v>97</v>
      </c>
    </row>
    <row r="19" spans="1:17">
      <c r="A19" s="4"/>
      <c r="B19" s="19">
        <v>4</v>
      </c>
      <c r="C19" s="4" t="s">
        <v>29</v>
      </c>
      <c r="D19" s="4" t="s">
        <v>9</v>
      </c>
      <c r="E19" s="4"/>
      <c r="F19" s="1"/>
      <c r="G19" s="3"/>
      <c r="H19" s="3"/>
      <c r="I19" s="3"/>
      <c r="J19" s="3"/>
      <c r="K19" s="3"/>
      <c r="L19" s="1"/>
      <c r="M19" s="47"/>
      <c r="N19" s="6">
        <v>4</v>
      </c>
      <c r="O19" s="6" t="s">
        <v>109</v>
      </c>
      <c r="P19" s="45" t="s">
        <v>9</v>
      </c>
      <c r="Q19" s="6" t="s">
        <v>97</v>
      </c>
    </row>
    <row r="20" spans="1:17">
      <c r="A20" s="4"/>
      <c r="B20" s="19">
        <v>5</v>
      </c>
      <c r="C20" s="4" t="s">
        <v>30</v>
      </c>
      <c r="D20" s="4" t="s">
        <v>9</v>
      </c>
      <c r="E20" s="4"/>
      <c r="F20" s="1"/>
      <c r="G20" s="3"/>
      <c r="H20" s="3"/>
      <c r="I20" s="3"/>
      <c r="J20" s="3"/>
      <c r="K20" s="3"/>
      <c r="L20" s="1"/>
      <c r="M20" s="47"/>
      <c r="N20" s="6">
        <v>5</v>
      </c>
      <c r="O20" s="6" t="s">
        <v>110</v>
      </c>
      <c r="P20" s="45" t="s">
        <v>9</v>
      </c>
      <c r="Q20" s="6" t="s">
        <v>97</v>
      </c>
    </row>
    <row r="21" spans="1:17">
      <c r="A21" s="4"/>
      <c r="B21" s="19">
        <v>6</v>
      </c>
      <c r="C21" s="4" t="s">
        <v>31</v>
      </c>
      <c r="D21" s="4" t="s">
        <v>9</v>
      </c>
      <c r="E21" s="4"/>
      <c r="F21" s="1"/>
      <c r="G21" s="3"/>
      <c r="H21" s="3"/>
      <c r="I21" s="3"/>
      <c r="J21" s="3"/>
      <c r="K21" s="3"/>
      <c r="L21" s="1"/>
      <c r="M21" s="47"/>
      <c r="N21" s="6">
        <v>6</v>
      </c>
      <c r="O21" s="6" t="s">
        <v>111</v>
      </c>
      <c r="P21" s="45" t="s">
        <v>9</v>
      </c>
      <c r="Q21" s="6" t="s">
        <v>97</v>
      </c>
    </row>
    <row r="22" spans="1:17">
      <c r="A22" s="4"/>
      <c r="B22" s="19">
        <v>7</v>
      </c>
      <c r="C22" s="4" t="s">
        <v>32</v>
      </c>
      <c r="D22" s="4" t="s">
        <v>9</v>
      </c>
      <c r="E22" s="4"/>
      <c r="F22" s="1"/>
      <c r="G22" s="3"/>
      <c r="H22" s="3"/>
      <c r="I22" s="3"/>
      <c r="J22" s="3"/>
      <c r="K22" s="3"/>
      <c r="L22" s="1"/>
      <c r="M22" s="47"/>
      <c r="N22" s="6">
        <v>7</v>
      </c>
      <c r="O22" s="6" t="s">
        <v>112</v>
      </c>
      <c r="P22" s="45" t="s">
        <v>9</v>
      </c>
      <c r="Q22" s="6" t="s">
        <v>97</v>
      </c>
    </row>
    <row r="23" spans="1:17">
      <c r="A23" s="4"/>
      <c r="B23" s="19" t="s">
        <v>33</v>
      </c>
      <c r="C23" s="4" t="s">
        <v>21</v>
      </c>
      <c r="D23" s="4"/>
      <c r="E23" s="4"/>
      <c r="F23" s="1"/>
      <c r="G23" s="3"/>
      <c r="H23" s="3"/>
      <c r="I23" s="3"/>
      <c r="J23" s="3"/>
      <c r="K23" s="3"/>
      <c r="L23" s="1"/>
      <c r="M23" s="47">
        <v>2</v>
      </c>
      <c r="N23" s="6" t="s">
        <v>115</v>
      </c>
      <c r="O23" s="6" t="s">
        <v>113</v>
      </c>
      <c r="P23" s="45" t="s">
        <v>40</v>
      </c>
      <c r="Q23" s="6" t="s">
        <v>114</v>
      </c>
    </row>
    <row r="24" spans="1:17">
      <c r="A24" s="4"/>
      <c r="B24" s="19">
        <v>15</v>
      </c>
      <c r="C24" s="4"/>
      <c r="D24" s="4" t="s">
        <v>9</v>
      </c>
      <c r="E24" s="4"/>
      <c r="F24" s="1"/>
      <c r="G24" s="3"/>
      <c r="H24" s="3"/>
      <c r="I24" s="3"/>
      <c r="J24" s="3"/>
      <c r="K24" s="3"/>
      <c r="L24" s="1"/>
      <c r="M24" s="47">
        <v>4</v>
      </c>
      <c r="N24" s="6"/>
      <c r="O24" s="6" t="s">
        <v>116</v>
      </c>
      <c r="P24" s="45" t="s">
        <v>117</v>
      </c>
      <c r="Q24" s="6" t="s">
        <v>118</v>
      </c>
    </row>
    <row r="25" spans="1:17">
      <c r="A25" s="56" t="s">
        <v>122</v>
      </c>
      <c r="B25" s="56"/>
      <c r="C25" s="56"/>
      <c r="D25" s="56"/>
      <c r="E25" s="56"/>
      <c r="F25" s="1"/>
      <c r="G25" s="56" t="s">
        <v>122</v>
      </c>
      <c r="H25" s="56"/>
      <c r="I25" s="56"/>
      <c r="J25" s="56"/>
      <c r="K25" s="56"/>
      <c r="L25" s="1"/>
      <c r="M25" s="47">
        <v>8</v>
      </c>
      <c r="N25" s="6"/>
      <c r="O25" s="6" t="s">
        <v>119</v>
      </c>
      <c r="P25" s="45" t="s">
        <v>40</v>
      </c>
      <c r="Q25" s="6" t="s">
        <v>120</v>
      </c>
    </row>
    <row r="26" spans="1:17">
      <c r="A26" s="20">
        <f>A15+12</f>
        <v>114</v>
      </c>
      <c r="B26" s="21">
        <v>0</v>
      </c>
      <c r="C26" s="20" t="s">
        <v>168</v>
      </c>
      <c r="D26" s="20" t="s">
        <v>9</v>
      </c>
      <c r="E26" s="20" t="s">
        <v>125</v>
      </c>
      <c r="F26" s="1"/>
      <c r="G26" s="20">
        <f>G15+12</f>
        <v>114</v>
      </c>
      <c r="H26" s="21">
        <v>0</v>
      </c>
      <c r="I26" s="20" t="s">
        <v>37</v>
      </c>
      <c r="J26" s="20" t="s">
        <v>9</v>
      </c>
      <c r="K26" s="20"/>
      <c r="L26" s="1"/>
      <c r="M26" s="47">
        <v>10</v>
      </c>
      <c r="N26" s="6"/>
      <c r="O26" s="6" t="s">
        <v>121</v>
      </c>
      <c r="P26" s="45" t="s">
        <v>40</v>
      </c>
      <c r="Q26" s="6" t="s">
        <v>118</v>
      </c>
    </row>
    <row r="27" spans="1:17">
      <c r="A27" s="20"/>
      <c r="B27" s="21" t="s">
        <v>22</v>
      </c>
      <c r="C27" s="20" t="s">
        <v>21</v>
      </c>
      <c r="D27" s="20"/>
      <c r="E27" s="20" t="s">
        <v>21</v>
      </c>
      <c r="F27" s="1"/>
      <c r="G27" s="20"/>
      <c r="H27" s="21">
        <v>1</v>
      </c>
      <c r="I27" s="20" t="s">
        <v>38</v>
      </c>
      <c r="J27" s="20" t="s">
        <v>9</v>
      </c>
      <c r="K27" s="20"/>
      <c r="L27" s="1"/>
      <c r="M27" s="47">
        <v>12</v>
      </c>
      <c r="N27" s="6"/>
      <c r="O27" s="6" t="s">
        <v>123</v>
      </c>
      <c r="P27" s="45" t="s">
        <v>117</v>
      </c>
      <c r="Q27" s="6" t="s">
        <v>124</v>
      </c>
    </row>
    <row r="28" spans="1:17">
      <c r="A28" s="20">
        <f>A26+2</f>
        <v>116</v>
      </c>
      <c r="B28" s="21"/>
      <c r="C28" s="20" t="s">
        <v>39</v>
      </c>
      <c r="D28" s="20" t="s">
        <v>40</v>
      </c>
      <c r="E28" s="20"/>
      <c r="F28" s="1"/>
      <c r="G28" s="20"/>
      <c r="H28" s="21">
        <v>2</v>
      </c>
      <c r="I28" s="20" t="s">
        <v>41</v>
      </c>
      <c r="J28" s="20" t="s">
        <v>9</v>
      </c>
      <c r="K28" s="20"/>
      <c r="L28" s="1"/>
      <c r="M28" s="47">
        <v>16</v>
      </c>
      <c r="N28" s="6"/>
      <c r="O28" s="6" t="s">
        <v>126</v>
      </c>
      <c r="P28" s="45" t="s">
        <v>40</v>
      </c>
      <c r="Q28" s="6" t="s">
        <v>127</v>
      </c>
    </row>
    <row r="29" spans="1:17">
      <c r="A29" s="20">
        <f>A28+2</f>
        <v>118</v>
      </c>
      <c r="B29" s="21"/>
      <c r="C29" s="20" t="s">
        <v>169</v>
      </c>
      <c r="D29" s="20" t="s">
        <v>43</v>
      </c>
      <c r="E29" s="20"/>
      <c r="F29" s="1"/>
      <c r="G29" s="20"/>
      <c r="H29" s="21" t="s">
        <v>33</v>
      </c>
      <c r="I29" s="20"/>
      <c r="J29" s="20"/>
      <c r="K29" s="20"/>
      <c r="L29" s="1"/>
      <c r="M29" s="47">
        <v>18</v>
      </c>
      <c r="N29" s="6"/>
      <c r="O29" s="6" t="s">
        <v>128</v>
      </c>
      <c r="P29" s="45" t="s">
        <v>40</v>
      </c>
      <c r="Q29" s="6" t="s">
        <v>124</v>
      </c>
    </row>
    <row r="30" spans="1:17">
      <c r="A30" s="20">
        <f>A29+42</f>
        <v>160</v>
      </c>
      <c r="B30" s="21"/>
      <c r="C30" s="20" t="s">
        <v>21</v>
      </c>
      <c r="D30" s="20"/>
      <c r="E30" s="20"/>
      <c r="F30" s="1"/>
      <c r="G30" s="20">
        <f>G26+2</f>
        <v>116</v>
      </c>
      <c r="H30" s="21"/>
      <c r="I30" s="20" t="s">
        <v>44</v>
      </c>
      <c r="J30" s="20" t="s">
        <v>40</v>
      </c>
      <c r="K30" s="20"/>
      <c r="L30" s="1"/>
      <c r="M30" s="47">
        <v>20</v>
      </c>
      <c r="N30" s="6"/>
      <c r="O30" s="6" t="s">
        <v>129</v>
      </c>
      <c r="P30" s="45" t="s">
        <v>117</v>
      </c>
      <c r="Q30" s="6" t="s">
        <v>130</v>
      </c>
    </row>
    <row r="31" spans="1:17">
      <c r="A31" s="20"/>
      <c r="B31" s="21"/>
      <c r="C31" s="20"/>
      <c r="D31" s="20"/>
      <c r="E31" s="20"/>
      <c r="F31" s="1"/>
      <c r="G31" s="20">
        <f>G30+2</f>
        <v>118</v>
      </c>
      <c r="H31" s="21"/>
      <c r="I31" s="20" t="s">
        <v>21</v>
      </c>
      <c r="J31" s="20"/>
      <c r="K31" s="20"/>
      <c r="L31" s="1"/>
      <c r="M31" s="47">
        <v>24</v>
      </c>
      <c r="N31" s="6"/>
      <c r="O31" s="6" t="s">
        <v>131</v>
      </c>
      <c r="P31" s="45" t="s">
        <v>117</v>
      </c>
      <c r="Q31" s="6" t="s">
        <v>132</v>
      </c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47">
        <v>28</v>
      </c>
      <c r="N32" s="6"/>
      <c r="O32" s="6" t="s">
        <v>133</v>
      </c>
      <c r="P32" s="45" t="s">
        <v>117</v>
      </c>
      <c r="Q32" s="6" t="s">
        <v>134</v>
      </c>
    </row>
    <row r="33" spans="1:17">
      <c r="A33" s="22">
        <f>A30+100</f>
        <v>260</v>
      </c>
      <c r="B33" s="23">
        <v>0</v>
      </c>
      <c r="C33" s="22" t="s">
        <v>141</v>
      </c>
      <c r="D33" s="22" t="s">
        <v>9</v>
      </c>
      <c r="E33" s="22" t="s">
        <v>142</v>
      </c>
      <c r="F33" s="1"/>
      <c r="G33" s="22">
        <f>G31+100</f>
        <v>218</v>
      </c>
      <c r="H33" s="23">
        <v>0</v>
      </c>
      <c r="I33" s="22" t="s">
        <v>143</v>
      </c>
      <c r="J33" s="22" t="s">
        <v>9</v>
      </c>
      <c r="K33" s="22"/>
      <c r="L33" s="1"/>
      <c r="M33" s="47">
        <v>32</v>
      </c>
      <c r="N33" s="6"/>
      <c r="O33" s="6" t="s">
        <v>135</v>
      </c>
      <c r="P33" s="45" t="s">
        <v>117</v>
      </c>
      <c r="Q33" s="6" t="s">
        <v>136</v>
      </c>
    </row>
    <row r="34" spans="1:17">
      <c r="A34" s="22"/>
      <c r="B34" s="23" t="s">
        <v>22</v>
      </c>
      <c r="C34" s="22" t="s">
        <v>21</v>
      </c>
      <c r="D34" s="22"/>
      <c r="E34" s="22" t="s">
        <v>21</v>
      </c>
      <c r="F34" s="1"/>
      <c r="G34" s="22"/>
      <c r="H34" s="23">
        <v>1</v>
      </c>
      <c r="I34" s="22" t="s">
        <v>144</v>
      </c>
      <c r="J34" s="22" t="s">
        <v>9</v>
      </c>
      <c r="K34" s="22"/>
      <c r="L34" s="1"/>
      <c r="M34" s="47">
        <v>36</v>
      </c>
      <c r="N34" s="6"/>
      <c r="O34" s="6" t="s">
        <v>137</v>
      </c>
      <c r="P34" s="45" t="s">
        <v>117</v>
      </c>
      <c r="Q34" s="6" t="s">
        <v>138</v>
      </c>
    </row>
    <row r="35" spans="1:17">
      <c r="A35" s="22">
        <f>A33+2</f>
        <v>262</v>
      </c>
      <c r="B35" s="23"/>
      <c r="C35" s="22" t="s">
        <v>39</v>
      </c>
      <c r="D35" s="22" t="s">
        <v>40</v>
      </c>
      <c r="E35" s="22"/>
      <c r="F35" s="1"/>
      <c r="G35" s="22"/>
      <c r="H35" s="23">
        <v>2</v>
      </c>
      <c r="I35" s="22" t="s">
        <v>145</v>
      </c>
      <c r="J35" s="22" t="s">
        <v>9</v>
      </c>
      <c r="K35" s="22"/>
      <c r="L35" s="1"/>
      <c r="M35" s="47">
        <v>40</v>
      </c>
      <c r="N35" s="6"/>
      <c r="O35" s="6" t="s">
        <v>139</v>
      </c>
      <c r="P35" s="45" t="s">
        <v>117</v>
      </c>
      <c r="Q35" s="6" t="s">
        <v>140</v>
      </c>
    </row>
    <row r="36" spans="1:17">
      <c r="A36" s="22">
        <f>A35+2</f>
        <v>264</v>
      </c>
      <c r="B36" s="23"/>
      <c r="C36" s="22" t="s">
        <v>169</v>
      </c>
      <c r="D36" s="22" t="s">
        <v>43</v>
      </c>
      <c r="E36" s="22"/>
      <c r="F36" s="1"/>
      <c r="G36" s="22"/>
      <c r="H36" s="23" t="s">
        <v>33</v>
      </c>
      <c r="I36" s="22"/>
      <c r="J36" s="22"/>
      <c r="K36" s="22"/>
      <c r="L36" s="1"/>
      <c r="M36" s="47">
        <v>44</v>
      </c>
      <c r="N36" s="6"/>
      <c r="O36" s="6" t="s">
        <v>193</v>
      </c>
      <c r="P36" s="45" t="s">
        <v>40</v>
      </c>
      <c r="Q36" s="6" t="s">
        <v>192</v>
      </c>
    </row>
    <row r="37" spans="1:17">
      <c r="A37" s="22">
        <f>A36+42</f>
        <v>306</v>
      </c>
      <c r="B37" s="23"/>
      <c r="C37" s="22" t="s">
        <v>21</v>
      </c>
      <c r="D37" s="22"/>
      <c r="E37" s="22"/>
      <c r="F37" s="1"/>
      <c r="G37" s="22">
        <f>G33+2</f>
        <v>220</v>
      </c>
      <c r="H37" s="23"/>
      <c r="I37" s="22" t="s">
        <v>44</v>
      </c>
      <c r="J37" s="22" t="s">
        <v>40</v>
      </c>
      <c r="K37" s="22"/>
      <c r="L37" s="1"/>
      <c r="M37" s="47">
        <v>46</v>
      </c>
      <c r="N37" s="6"/>
      <c r="O37" s="6" t="s">
        <v>195</v>
      </c>
      <c r="P37" s="45" t="s">
        <v>40</v>
      </c>
      <c r="Q37" s="6" t="s">
        <v>194</v>
      </c>
    </row>
    <row r="38" spans="1:17">
      <c r="A38" s="22"/>
      <c r="B38" s="23"/>
      <c r="C38" s="22"/>
      <c r="D38" s="22"/>
      <c r="E38" s="22"/>
      <c r="F38" s="1"/>
      <c r="G38" s="22">
        <f>G37+2</f>
        <v>222</v>
      </c>
      <c r="H38" s="23"/>
      <c r="I38" s="22" t="s">
        <v>21</v>
      </c>
      <c r="J38" s="22"/>
      <c r="K38" s="22"/>
      <c r="L38" s="1"/>
      <c r="M38" s="47">
        <v>48</v>
      </c>
      <c r="N38" s="6"/>
      <c r="O38" s="6"/>
      <c r="P38" s="45"/>
      <c r="Q38" s="6"/>
    </row>
    <row r="40" spans="1:17">
      <c r="A40" s="28">
        <f>A37+100</f>
        <v>406</v>
      </c>
      <c r="B40" s="29">
        <v>0</v>
      </c>
      <c r="C40" s="28" t="s">
        <v>146</v>
      </c>
      <c r="D40" s="28" t="s">
        <v>9</v>
      </c>
      <c r="E40" s="28" t="s">
        <v>147</v>
      </c>
      <c r="F40" s="1"/>
      <c r="G40" s="28">
        <f>G38+100</f>
        <v>322</v>
      </c>
      <c r="H40" s="29">
        <v>0</v>
      </c>
      <c r="I40" s="28" t="s">
        <v>148</v>
      </c>
      <c r="J40" s="28" t="s">
        <v>9</v>
      </c>
      <c r="K40" s="28"/>
      <c r="L40" s="1"/>
      <c r="M40" s="17"/>
      <c r="N40" s="1"/>
      <c r="O40" s="1"/>
      <c r="P40" s="44"/>
      <c r="Q40" s="1"/>
    </row>
    <row r="41" spans="1:17">
      <c r="A41" s="28"/>
      <c r="B41" s="29" t="s">
        <v>22</v>
      </c>
      <c r="C41" s="28" t="s">
        <v>21</v>
      </c>
      <c r="D41" s="28"/>
      <c r="E41" s="28" t="s">
        <v>21</v>
      </c>
      <c r="F41" s="1"/>
      <c r="G41" s="28"/>
      <c r="H41" s="29">
        <v>1</v>
      </c>
      <c r="I41" s="28" t="s">
        <v>149</v>
      </c>
      <c r="J41" s="28" t="s">
        <v>9</v>
      </c>
      <c r="K41" s="28"/>
      <c r="L41" s="1"/>
      <c r="M41" s="17"/>
      <c r="N41" s="1"/>
      <c r="O41" s="1"/>
      <c r="P41" s="44"/>
      <c r="Q41" s="1"/>
    </row>
    <row r="42" spans="1:17">
      <c r="A42" s="28">
        <f>A40+2</f>
        <v>408</v>
      </c>
      <c r="B42" s="29"/>
      <c r="C42" s="28" t="s">
        <v>39</v>
      </c>
      <c r="D42" s="28" t="s">
        <v>40</v>
      </c>
      <c r="E42" s="28"/>
      <c r="F42" s="1"/>
      <c r="G42" s="28"/>
      <c r="H42" s="29">
        <v>2</v>
      </c>
      <c r="I42" s="28" t="s">
        <v>150</v>
      </c>
      <c r="J42" s="28"/>
      <c r="K42" s="28"/>
      <c r="L42" s="1"/>
      <c r="M42" s="17"/>
      <c r="N42" s="1"/>
      <c r="O42" s="1"/>
      <c r="P42" s="44"/>
      <c r="Q42" s="1"/>
    </row>
    <row r="43" spans="1:17">
      <c r="A43" s="28">
        <f>A42+2</f>
        <v>410</v>
      </c>
      <c r="B43" s="29"/>
      <c r="C43" s="28" t="s">
        <v>169</v>
      </c>
      <c r="D43" s="28" t="s">
        <v>43</v>
      </c>
      <c r="E43" s="28"/>
      <c r="F43" s="1"/>
      <c r="G43" s="28"/>
      <c r="H43" s="29" t="s">
        <v>33</v>
      </c>
      <c r="I43" s="28"/>
      <c r="J43" s="28"/>
      <c r="K43" s="28"/>
      <c r="L43" s="1"/>
      <c r="M43" s="17"/>
      <c r="N43" s="1"/>
      <c r="O43" s="1"/>
      <c r="P43" s="44"/>
      <c r="Q43" s="1"/>
    </row>
    <row r="44" spans="1:17">
      <c r="A44" s="28">
        <f>A43+42</f>
        <v>452</v>
      </c>
      <c r="B44" s="29"/>
      <c r="C44" s="28" t="s">
        <v>151</v>
      </c>
      <c r="D44" s="28" t="s">
        <v>152</v>
      </c>
      <c r="E44" s="28" t="s">
        <v>153</v>
      </c>
      <c r="F44" s="1"/>
      <c r="G44" s="28">
        <f>G40+2</f>
        <v>324</v>
      </c>
      <c r="H44" s="29"/>
      <c r="I44" s="28" t="s">
        <v>44</v>
      </c>
      <c r="J44" s="28" t="s">
        <v>40</v>
      </c>
      <c r="K44" s="28"/>
      <c r="L44" s="1"/>
      <c r="M44" s="17"/>
      <c r="N44" s="1"/>
      <c r="O44" s="1"/>
      <c r="P44" s="44"/>
      <c r="Q44" s="1"/>
    </row>
    <row r="45" spans="1:17">
      <c r="A45" s="28">
        <f>A44+48*150</f>
        <v>7652</v>
      </c>
      <c r="B45" s="29"/>
      <c r="C45" s="28" t="s">
        <v>21</v>
      </c>
      <c r="D45" s="28"/>
      <c r="E45" s="28"/>
      <c r="F45" s="1"/>
      <c r="G45" s="28">
        <f>G44+2</f>
        <v>326</v>
      </c>
      <c r="H45" s="29"/>
      <c r="I45" s="28" t="s">
        <v>21</v>
      </c>
      <c r="J45" s="28"/>
      <c r="K45" s="28"/>
      <c r="L45" s="1"/>
      <c r="M45" s="17"/>
      <c r="N45" s="1"/>
      <c r="O45" s="1"/>
      <c r="P45" s="44"/>
      <c r="Q45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</sheetData>
  <mergeCells count="5">
    <mergeCell ref="M5:Q5"/>
    <mergeCell ref="A3:E3"/>
    <mergeCell ref="G3:K3"/>
    <mergeCell ref="A25:E25"/>
    <mergeCell ref="G25:K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修改内容</vt:lpstr>
      <vt:lpstr>加热膜加压OP050</vt:lpstr>
      <vt:lpstr>下箱体涂胶OP080</vt:lpstr>
      <vt:lpstr>模组入箱OP120~140</vt:lpstr>
      <vt:lpstr>肩部涂胶OP270</vt:lpstr>
      <vt:lpstr>压条加压OP290</vt:lpstr>
      <vt:lpstr>上盖拧紧OP510~520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杨杰</dc:creator>
  <cp:lastModifiedBy>JSLY7-PL41</cp:lastModifiedBy>
  <dcterms:created xsi:type="dcterms:W3CDTF">2015-06-05T18:19:34Z</dcterms:created>
  <dcterms:modified xsi:type="dcterms:W3CDTF">2025-09-24T08:24:02Z</dcterms:modified>
</cp:coreProperties>
</file>