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S\SourceCode\PackNew\doc\"/>
    </mc:Choice>
  </mc:AlternateContent>
  <bookViews>
    <workbookView xWindow="-120" yWindow="-120" windowWidth="29040" windowHeight="1779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G24" i="1"/>
  <c r="A62" i="1" l="1"/>
  <c r="A58" i="1"/>
  <c r="G8" i="1" l="1"/>
  <c r="G18" i="1" s="1"/>
  <c r="G20" i="1" s="1"/>
  <c r="G21" i="1" s="1"/>
  <c r="G22" i="1" s="1"/>
  <c r="A8" i="1"/>
  <c r="A18" i="1" s="1"/>
  <c r="A22" i="1" s="1"/>
  <c r="A25" i="1" s="1"/>
  <c r="A27" i="1" s="1"/>
  <c r="A29" i="1" s="1"/>
  <c r="A30" i="1" s="1"/>
  <c r="A31" i="1" s="1"/>
  <c r="A32" i="1" l="1"/>
  <c r="A34" i="1" s="1"/>
  <c r="A36" i="1" s="1"/>
  <c r="A37" i="1" s="1"/>
  <c r="G23" i="1"/>
  <c r="A38" i="1" l="1"/>
  <c r="A39" i="1" s="1"/>
  <c r="A42" i="1" s="1"/>
  <c r="A44" i="1" s="1"/>
  <c r="A45" i="1" s="1"/>
  <c r="G31" i="1"/>
  <c r="G34" i="1" s="1"/>
  <c r="G40" i="1" s="1"/>
  <c r="G42" i="1" s="1"/>
  <c r="G47" i="1" s="1"/>
  <c r="G49" i="1" s="1"/>
  <c r="G51" i="1" l="1"/>
  <c r="G52" i="1" s="1"/>
  <c r="G53" i="1" s="1"/>
  <c r="G54" i="1" s="1"/>
  <c r="G55" i="1" s="1"/>
  <c r="G56" i="1" s="1"/>
  <c r="G58" i="1" s="1"/>
  <c r="G60" i="1" s="1"/>
  <c r="A46" i="1"/>
  <c r="A49" i="1" s="1"/>
  <c r="A56" i="1" s="1"/>
</calcChain>
</file>

<file path=xl/sharedStrings.xml><?xml version="1.0" encoding="utf-8"?>
<sst xmlns="http://schemas.openxmlformats.org/spreadsheetml/2006/main" count="260" uniqueCount="147">
  <si>
    <t>PLC IP地址</t>
  </si>
  <si>
    <t>DB块</t>
  </si>
  <si>
    <t>PLC_TO_MES</t>
  </si>
  <si>
    <t>MES_TO_PLC</t>
  </si>
  <si>
    <t>偏移量</t>
  </si>
  <si>
    <t>名称</t>
  </si>
  <si>
    <t>数据类型</t>
  </si>
  <si>
    <t>说明</t>
  </si>
  <si>
    <t>PLC心跳请求</t>
  </si>
  <si>
    <t>bool</t>
  </si>
  <si>
    <t>MES心跳响应</t>
  </si>
  <si>
    <t>···</t>
  </si>
  <si>
    <t>预留</t>
  </si>
  <si>
    <t>自动模式</t>
  </si>
  <si>
    <t>报警</t>
  </si>
  <si>
    <t>手动模式</t>
  </si>
  <si>
    <t>可放行</t>
  </si>
  <si>
    <t>…</t>
  </si>
  <si>
    <t>复位确认</t>
  </si>
  <si>
    <t>在可放行状态下，当前信号位才可触发</t>
  </si>
  <si>
    <t>放行确认</t>
  </si>
  <si>
    <t>预留10个字节</t>
  </si>
  <si>
    <t>拧紧开始确认</t>
  </si>
  <si>
    <t>拧紧开始请求</t>
  </si>
  <si>
    <t>拧紧开始OK</t>
  </si>
  <si>
    <t>拧紧开始NG</t>
  </si>
  <si>
    <t>枪号</t>
  </si>
  <si>
    <t>ushort</t>
  </si>
  <si>
    <t>程序号</t>
  </si>
  <si>
    <t>上使能失败</t>
  </si>
  <si>
    <t>拧紧完成请求</t>
  </si>
  <si>
    <t>同时下使能</t>
  </si>
  <si>
    <t>拧紧完成确认</t>
  </si>
  <si>
    <t>拧紧结果</t>
  </si>
  <si>
    <t>byte[]</t>
  </si>
  <si>
    <t>参照【拧紧数据】结构</t>
  </si>
  <si>
    <t>拧紧数据</t>
  </si>
  <si>
    <t>类型</t>
  </si>
  <si>
    <t>Tightening OK</t>
  </si>
  <si>
    <t>Bool</t>
  </si>
  <si>
    <t>OK</t>
  </si>
  <si>
    <t>Tightening NOK</t>
  </si>
  <si>
    <t>NOK</t>
  </si>
  <si>
    <t>res1</t>
  </si>
  <si>
    <t>备用</t>
  </si>
  <si>
    <t>Ready</t>
  </si>
  <si>
    <t>准备就绪</t>
  </si>
  <si>
    <t>Tightening running</t>
  </si>
  <si>
    <t>拧紧中</t>
  </si>
  <si>
    <t>res2</t>
  </si>
  <si>
    <t>res3</t>
  </si>
  <si>
    <t>res4</t>
  </si>
  <si>
    <t>res5</t>
  </si>
  <si>
    <t>res6</t>
  </si>
  <si>
    <t>res7</t>
  </si>
  <si>
    <t>res8</t>
  </si>
  <si>
    <t>res9</t>
  </si>
  <si>
    <t>res10</t>
  </si>
  <si>
    <t>res11</t>
  </si>
  <si>
    <t>res12</t>
  </si>
  <si>
    <t xml:space="preserve"> </t>
  </si>
  <si>
    <t>Pset_selected</t>
  </si>
  <si>
    <t>Int</t>
  </si>
  <si>
    <t>作业号反馈</t>
  </si>
  <si>
    <t>Final_torque</t>
  </si>
  <si>
    <t>Real</t>
  </si>
  <si>
    <t>扭矩结果反馈</t>
  </si>
  <si>
    <t>Constant1</t>
  </si>
  <si>
    <t>常数1反馈</t>
  </si>
  <si>
    <t>Torque_trend</t>
  </si>
  <si>
    <t>Final_angle</t>
  </si>
  <si>
    <t>角度结果反馈</t>
  </si>
  <si>
    <t>Constant2</t>
  </si>
  <si>
    <t>常数2反馈</t>
  </si>
  <si>
    <t>Angle_trend</t>
  </si>
  <si>
    <t>TorqueRate_Min</t>
  </si>
  <si>
    <t>最小扭矩</t>
  </si>
  <si>
    <t>TargetTorqueRate</t>
  </si>
  <si>
    <t>目标扭矩</t>
  </si>
  <si>
    <t>TorqueRate_Max</t>
  </si>
  <si>
    <t>最大扭矩</t>
  </si>
  <si>
    <t>Angle_Min</t>
  </si>
  <si>
    <t>最小角度</t>
  </si>
  <si>
    <t>TargetAngle</t>
  </si>
  <si>
    <t>目标角度</t>
  </si>
  <si>
    <t>Angle_Max</t>
  </si>
  <si>
    <t>最大角度</t>
  </si>
  <si>
    <t>ushort</t>
    <phoneticPr fontId="7" type="noConversion"/>
  </si>
  <si>
    <t>枪品牌</t>
    <phoneticPr fontId="7" type="noConversion"/>
  </si>
  <si>
    <t>风扇</t>
    <phoneticPr fontId="7" type="noConversion"/>
  </si>
  <si>
    <t>bool</t>
    <phoneticPr fontId="7" type="noConversion"/>
  </si>
  <si>
    <t>拧紧枪品牌</t>
    <phoneticPr fontId="9" type="noConversion"/>
  </si>
  <si>
    <t>马头</t>
    <phoneticPr fontId="9" type="noConversion"/>
  </si>
  <si>
    <t>博世</t>
    <phoneticPr fontId="9" type="noConversion"/>
  </si>
  <si>
    <t>参照【拧紧枪品牌】</t>
  </si>
  <si>
    <t>参照【拧紧枪品牌】</t>
    <phoneticPr fontId="7" type="noConversion"/>
  </si>
  <si>
    <t>预留100个字节</t>
    <phoneticPr fontId="7" type="noConversion"/>
  </si>
  <si>
    <t>AGV进站通知</t>
    <phoneticPr fontId="9" type="noConversion"/>
  </si>
  <si>
    <t>bool</t>
    <phoneticPr fontId="9" type="noConversion"/>
  </si>
  <si>
    <t>…</t>
    <phoneticPr fontId="9" type="noConversion"/>
  </si>
  <si>
    <t>AGV车号</t>
    <phoneticPr fontId="9" type="noConversion"/>
  </si>
  <si>
    <t>ushort</t>
    <phoneticPr fontId="9" type="noConversion"/>
  </si>
  <si>
    <t>AGV进站通知OK</t>
    <phoneticPr fontId="9" type="noConversion"/>
  </si>
  <si>
    <t>AGV进站通知NG</t>
    <phoneticPr fontId="9" type="noConversion"/>
  </si>
  <si>
    <t>AGV绑定条码OK</t>
    <phoneticPr fontId="9" type="noConversion"/>
  </si>
  <si>
    <t>AGV绑定条码NG</t>
    <phoneticPr fontId="9" type="noConversion"/>
  </si>
  <si>
    <t>AGV绑定条码请求</t>
    <phoneticPr fontId="9" type="noConversion"/>
  </si>
  <si>
    <t>Pack码</t>
    <phoneticPr fontId="9" type="noConversion"/>
  </si>
  <si>
    <t>string40</t>
    <phoneticPr fontId="9" type="noConversion"/>
  </si>
  <si>
    <t>AGV绑定条码确认</t>
    <phoneticPr fontId="9" type="noConversion"/>
  </si>
  <si>
    <t>AGV进站通知确认</t>
    <phoneticPr fontId="9" type="noConversion"/>
  </si>
  <si>
    <t>AGV离站通知</t>
    <phoneticPr fontId="9" type="noConversion"/>
  </si>
  <si>
    <t>AGV离站通知确认</t>
    <phoneticPr fontId="9" type="noConversion"/>
  </si>
  <si>
    <t>AGV离站通知OK</t>
    <phoneticPr fontId="9" type="noConversion"/>
  </si>
  <si>
    <t>AGV离站通知NG</t>
    <phoneticPr fontId="9" type="noConversion"/>
  </si>
  <si>
    <t>工位编号</t>
    <phoneticPr fontId="9" type="noConversion"/>
  </si>
  <si>
    <t>台车码</t>
    <phoneticPr fontId="9" type="noConversion"/>
  </si>
  <si>
    <t>操作行为</t>
    <phoneticPr fontId="9" type="noConversion"/>
  </si>
  <si>
    <t>绑定：1，解绑：2</t>
    <phoneticPr fontId="9" type="noConversion"/>
  </si>
  <si>
    <t>放行AGV请求</t>
    <phoneticPr fontId="9" type="noConversion"/>
  </si>
  <si>
    <t>放行AGV确认</t>
    <phoneticPr fontId="9" type="noConversion"/>
  </si>
  <si>
    <t>放行AGVOK</t>
    <phoneticPr fontId="9" type="noConversion"/>
  </si>
  <si>
    <t>放行AGVNG</t>
    <phoneticPr fontId="9" type="noConversion"/>
  </si>
  <si>
    <t>…</t>
    <phoneticPr fontId="9" type="noConversion"/>
  </si>
  <si>
    <t>放行请求</t>
    <phoneticPr fontId="9" type="noConversion"/>
  </si>
  <si>
    <t>复位请求</t>
    <phoneticPr fontId="9" type="noConversion"/>
  </si>
  <si>
    <t>AGV允许进入</t>
    <phoneticPr fontId="9" type="noConversion"/>
  </si>
  <si>
    <t>AGV允许离开</t>
    <phoneticPr fontId="9" type="noConversion"/>
  </si>
  <si>
    <t>AGV在位</t>
    <phoneticPr fontId="9" type="noConversion"/>
  </si>
  <si>
    <t>AGV正在进入</t>
    <phoneticPr fontId="9" type="noConversion"/>
  </si>
  <si>
    <t>AGV正在离开</t>
    <phoneticPr fontId="9" type="noConversion"/>
  </si>
  <si>
    <t>AGV请求写码</t>
    <phoneticPr fontId="9" type="noConversion"/>
  </si>
  <si>
    <t>AGV写码完成</t>
    <phoneticPr fontId="9" type="noConversion"/>
  </si>
  <si>
    <t>拧紧枪就绪</t>
    <phoneticPr fontId="9" type="noConversion"/>
  </si>
  <si>
    <t>拧紧枪使能</t>
    <phoneticPr fontId="9" type="noConversion"/>
  </si>
  <si>
    <t>拧紧中</t>
    <phoneticPr fontId="9" type="noConversion"/>
  </si>
  <si>
    <t>拧紧枪报警</t>
    <phoneticPr fontId="9" type="noConversion"/>
  </si>
  <si>
    <t>预留10个字节</t>
    <phoneticPr fontId="7" type="noConversion"/>
  </si>
  <si>
    <t xml:space="preserve"> </t>
    <phoneticPr fontId="9" type="noConversion"/>
  </si>
  <si>
    <t>初始化请求</t>
    <phoneticPr fontId="9" type="noConversion"/>
  </si>
  <si>
    <t>初始化确认</t>
    <phoneticPr fontId="9" type="noConversion"/>
  </si>
  <si>
    <t>预留</t>
    <phoneticPr fontId="9" type="noConversion"/>
  </si>
  <si>
    <t>…</t>
    <phoneticPr fontId="9" type="noConversion"/>
  </si>
  <si>
    <t>拧紧序号</t>
    <phoneticPr fontId="9" type="noConversion"/>
  </si>
  <si>
    <t>ushort</t>
    <phoneticPr fontId="9" type="noConversion"/>
  </si>
  <si>
    <r>
      <t>预留9</t>
    </r>
    <r>
      <rPr>
        <sz val="11"/>
        <color rgb="FF000000"/>
        <rFont val="等线"/>
        <family val="3"/>
        <charset val="134"/>
      </rPr>
      <t>8</t>
    </r>
    <r>
      <rPr>
        <sz val="11"/>
        <color rgb="FF000000"/>
        <rFont val="等线"/>
        <family val="3"/>
        <charset val="134"/>
      </rPr>
      <t>个字节</t>
    </r>
    <phoneticPr fontId="7" type="noConversion"/>
  </si>
  <si>
    <t>超时报警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</si>
</sst>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宋体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trike/>
      <sz val="11"/>
      <color theme="1"/>
      <name val="等线"/>
      <family val="3"/>
      <charset val="134"/>
    </font>
    <font>
      <strike/>
      <sz val="11"/>
      <color rgb="FF000000"/>
      <name val="等线"/>
      <family val="3"/>
      <charset val="134"/>
    </font>
    <font>
      <sz val="11"/>
      <color rgb="FF9C0006"/>
      <name val="宋体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/>
    <xf numFmtId="0" fontId="16" fillId="10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4" xfId="2" applyFont="1" applyFill="1" applyBorder="1" applyAlignment="1"/>
    <xf numFmtId="0" fontId="2" fillId="0" borderId="4" xfId="2" applyFont="1" applyFill="1" applyBorder="1" applyAlignment="1">
      <alignment horizontal="center"/>
    </xf>
    <xf numFmtId="0" fontId="2" fillId="0" borderId="4" xfId="2" applyFont="1" applyFill="1" applyBorder="1" applyAlignment="1">
      <alignment horizontal="right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2" fillId="0" borderId="0" xfId="2" applyFont="1" applyFill="1" applyAlignment="1"/>
    <xf numFmtId="0" fontId="2" fillId="0" borderId="0" xfId="2" applyFont="1" applyFill="1" applyAlignment="1">
      <alignment horizontal="right" vertical="center"/>
    </xf>
    <xf numFmtId="0" fontId="2" fillId="0" borderId="0" xfId="2" applyFont="1" applyFill="1" applyAlignment="1">
      <alignment horizontal="center"/>
    </xf>
    <xf numFmtId="0" fontId="2" fillId="2" borderId="4" xfId="2" applyFont="1" applyFill="1" applyBorder="1" applyAlignment="1"/>
    <xf numFmtId="0" fontId="2" fillId="2" borderId="4" xfId="2" applyFont="1" applyFill="1" applyBorder="1" applyAlignment="1">
      <alignment horizontal="right" vertical="center"/>
    </xf>
    <xf numFmtId="0" fontId="2" fillId="3" borderId="4" xfId="2" applyFont="1" applyFill="1" applyBorder="1" applyAlignment="1"/>
    <xf numFmtId="0" fontId="2" fillId="3" borderId="4" xfId="2" applyFont="1" applyFill="1" applyBorder="1" applyAlignment="1">
      <alignment horizontal="right" vertical="center"/>
    </xf>
    <xf numFmtId="0" fontId="2" fillId="4" borderId="4" xfId="2" applyFont="1" applyFill="1" applyBorder="1" applyAlignment="1"/>
    <xf numFmtId="0" fontId="2" fillId="4" borderId="4" xfId="2" applyFont="1" applyFill="1" applyBorder="1" applyAlignment="1">
      <alignment horizontal="right" vertical="center"/>
    </xf>
    <xf numFmtId="0" fontId="2" fillId="4" borderId="4" xfId="2" applyFont="1" applyFill="1" applyBorder="1" applyAlignment="1">
      <alignment horizontal="right"/>
    </xf>
    <xf numFmtId="0" fontId="2" fillId="5" borderId="4" xfId="2" applyFont="1" applyFill="1" applyBorder="1" applyAlignment="1"/>
    <xf numFmtId="0" fontId="2" fillId="5" borderId="4" xfId="2" applyFont="1" applyFill="1" applyBorder="1" applyAlignment="1">
      <alignment horizontal="right" vertical="center"/>
    </xf>
    <xf numFmtId="0" fontId="4" fillId="5" borderId="4" xfId="1" applyNumberFormat="1" applyFont="1" applyFill="1" applyBorder="1" applyAlignment="1" applyProtection="1"/>
    <xf numFmtId="0" fontId="2" fillId="0" borderId="0" xfId="2" applyFont="1" applyFill="1" applyAlignment="1">
      <alignment horizontal="center" vertical="center"/>
    </xf>
    <xf numFmtId="0" fontId="8" fillId="5" borderId="4" xfId="2" applyFont="1" applyFill="1" applyBorder="1" applyAlignment="1"/>
    <xf numFmtId="0" fontId="8" fillId="4" borderId="4" xfId="2" applyFont="1" applyFill="1" applyBorder="1" applyAlignment="1"/>
    <xf numFmtId="0" fontId="8" fillId="3" borderId="4" xfId="2" applyFont="1" applyFill="1" applyBorder="1" applyAlignment="1"/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5" borderId="4" xfId="1" applyFont="1" applyFill="1" applyBorder="1" applyAlignment="1"/>
    <xf numFmtId="0" fontId="5" fillId="4" borderId="4" xfId="1" applyFill="1" applyBorder="1" applyAlignment="1"/>
    <xf numFmtId="0" fontId="13" fillId="6" borderId="4" xfId="0" applyFont="1" applyFill="1" applyBorder="1" applyAlignment="1">
      <alignment horizontal="right" vertical="center"/>
    </xf>
    <xf numFmtId="0" fontId="13" fillId="6" borderId="4" xfId="0" applyFont="1" applyFill="1" applyBorder="1" applyAlignment="1"/>
    <xf numFmtId="0" fontId="8" fillId="0" borderId="0" xfId="2" applyFont="1" applyFill="1" applyAlignment="1"/>
    <xf numFmtId="0" fontId="13" fillId="7" borderId="4" xfId="0" applyFont="1" applyFill="1" applyBorder="1" applyAlignment="1">
      <alignment horizontal="right" vertical="center"/>
    </xf>
    <xf numFmtId="0" fontId="13" fillId="7" borderId="4" xfId="0" applyFont="1" applyFill="1" applyBorder="1" applyAlignment="1"/>
    <xf numFmtId="0" fontId="13" fillId="8" borderId="4" xfId="0" applyFont="1" applyFill="1" applyBorder="1" applyAlignment="1">
      <alignment horizontal="right" vertical="center"/>
    </xf>
    <xf numFmtId="0" fontId="13" fillId="8" borderId="4" xfId="0" applyFont="1" applyFill="1" applyBorder="1" applyAlignment="1"/>
    <xf numFmtId="0" fontId="13" fillId="0" borderId="0" xfId="0" applyFont="1" applyFill="1" applyAlignment="1"/>
    <xf numFmtId="0" fontId="3" fillId="5" borderId="4" xfId="0" applyFont="1" applyFill="1" applyBorder="1" applyAlignment="1"/>
    <xf numFmtId="0" fontId="13" fillId="5" borderId="4" xfId="0" applyFont="1" applyFill="1" applyBorder="1" applyAlignment="1"/>
    <xf numFmtId="0" fontId="14" fillId="5" borderId="4" xfId="0" applyFont="1" applyFill="1" applyBorder="1" applyAlignment="1"/>
    <xf numFmtId="0" fontId="15" fillId="5" borderId="4" xfId="2" applyFont="1" applyFill="1" applyBorder="1" applyAlignment="1"/>
    <xf numFmtId="0" fontId="3" fillId="9" borderId="4" xfId="0" applyFont="1" applyFill="1" applyBorder="1" applyAlignment="1"/>
    <xf numFmtId="0" fontId="2" fillId="9" borderId="4" xfId="2" applyFont="1" applyFill="1" applyBorder="1" applyAlignment="1"/>
    <xf numFmtId="0" fontId="16" fillId="10" borderId="4" xfId="3" applyBorder="1" applyAlignment="1"/>
    <xf numFmtId="0" fontId="8" fillId="0" borderId="2" xfId="2" applyFont="1" applyFill="1" applyBorder="1" applyAlignment="1">
      <alignment horizontal="center"/>
    </xf>
    <xf numFmtId="0" fontId="2" fillId="9" borderId="2" xfId="2" applyFont="1" applyFill="1" applyBorder="1" applyAlignment="1">
      <alignment horizontal="center"/>
    </xf>
    <xf numFmtId="0" fontId="8" fillId="9" borderId="2" xfId="2" applyFont="1" applyFill="1" applyBorder="1" applyAlignment="1">
      <alignment horizontal="center"/>
    </xf>
    <xf numFmtId="0" fontId="2" fillId="0" borderId="0" xfId="2" applyFont="1" applyFill="1" applyAlignment="1">
      <alignment horizontal="center"/>
    </xf>
    <xf numFmtId="0" fontId="2" fillId="0" borderId="4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center"/>
    </xf>
    <xf numFmtId="0" fontId="1" fillId="0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center"/>
    </xf>
    <xf numFmtId="0" fontId="1" fillId="0" borderId="3" xfId="2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</cellXfs>
  <cellStyles count="4">
    <cellStyle name="差" xfId="3" builtinId="27"/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tabSelected="1" workbookViewId="0">
      <selection activeCell="I8" sqref="I8"/>
    </sheetView>
  </sheetViews>
  <sheetFormatPr defaultColWidth="9" defaultRowHeight="14.25" x14ac:dyDescent="0.2"/>
  <cols>
    <col min="1" max="1" width="9.75" style="5" customWidth="1"/>
    <col min="2" max="2" width="6.125" style="5" customWidth="1"/>
    <col min="3" max="3" width="17.125" style="5" customWidth="1"/>
    <col min="4" max="4" width="10" style="5" customWidth="1"/>
    <col min="5" max="5" width="49.375" style="5" customWidth="1"/>
    <col min="6" max="6" width="9" style="5"/>
    <col min="7" max="7" width="6.625" style="5" customWidth="1"/>
    <col min="8" max="8" width="4.5" style="5" customWidth="1"/>
    <col min="9" max="9" width="16.25" style="5" customWidth="1"/>
    <col min="10" max="10" width="10" style="5" customWidth="1"/>
    <col min="11" max="11" width="37.625" style="5" customWidth="1"/>
    <col min="12" max="12" width="9" style="5"/>
    <col min="13" max="13" width="7.125" style="6" customWidth="1"/>
    <col min="14" max="14" width="3.125" style="5" customWidth="1"/>
    <col min="15" max="15" width="16.625" style="5" customWidth="1"/>
    <col min="16" max="16" width="5.25" style="7" customWidth="1"/>
    <col min="17" max="17" width="35" style="5" customWidth="1"/>
    <col min="18" max="16384" width="9" style="5"/>
  </cols>
  <sheetData>
    <row r="1" spans="1:17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8"/>
      <c r="O1" s="8"/>
      <c r="P1" s="21"/>
      <c r="Q1" s="8"/>
    </row>
    <row r="2" spans="1:17" x14ac:dyDescent="0.2">
      <c r="A2" s="8" t="s">
        <v>1</v>
      </c>
      <c r="B2" s="9">
        <v>200</v>
      </c>
      <c r="C2" s="8"/>
      <c r="D2" s="8"/>
      <c r="E2" s="8"/>
      <c r="F2" s="8"/>
      <c r="G2" s="8" t="s">
        <v>1</v>
      </c>
      <c r="H2" s="8">
        <v>201</v>
      </c>
      <c r="I2" s="8"/>
      <c r="J2" s="8"/>
      <c r="K2" s="8"/>
      <c r="L2" s="8"/>
      <c r="M2" s="9"/>
      <c r="N2" s="8"/>
      <c r="O2" s="8"/>
      <c r="P2" s="21"/>
      <c r="Q2" s="8"/>
    </row>
    <row r="3" spans="1:17" x14ac:dyDescent="0.2">
      <c r="A3" s="47" t="s">
        <v>2</v>
      </c>
      <c r="B3" s="47"/>
      <c r="C3" s="47"/>
      <c r="D3" s="47"/>
      <c r="E3" s="47"/>
      <c r="F3" s="8"/>
      <c r="G3" s="47" t="s">
        <v>3</v>
      </c>
      <c r="H3" s="47"/>
      <c r="I3" s="47"/>
      <c r="J3" s="47"/>
      <c r="K3" s="47"/>
      <c r="L3" s="8"/>
    </row>
    <row r="4" spans="1:17" x14ac:dyDescent="0.2">
      <c r="A4" s="10" t="s">
        <v>4</v>
      </c>
      <c r="B4" s="8"/>
      <c r="C4" s="10" t="s">
        <v>5</v>
      </c>
      <c r="D4" s="10" t="s">
        <v>6</v>
      </c>
      <c r="E4" s="10" t="s">
        <v>7</v>
      </c>
      <c r="F4" s="8"/>
      <c r="G4" s="10" t="s">
        <v>4</v>
      </c>
      <c r="H4" s="8"/>
      <c r="I4" s="10" t="s">
        <v>5</v>
      </c>
      <c r="J4" s="10" t="s">
        <v>6</v>
      </c>
      <c r="K4" s="10" t="s">
        <v>7</v>
      </c>
      <c r="L4" s="8"/>
    </row>
    <row r="5" spans="1:17" x14ac:dyDescent="0.2">
      <c r="A5" s="11">
        <v>100</v>
      </c>
      <c r="B5" s="12">
        <v>0</v>
      </c>
      <c r="C5" s="11" t="s">
        <v>8</v>
      </c>
      <c r="D5" s="11" t="s">
        <v>9</v>
      </c>
      <c r="E5" s="11"/>
      <c r="F5" s="8"/>
      <c r="G5" s="11">
        <v>100</v>
      </c>
      <c r="H5" s="12">
        <v>0</v>
      </c>
      <c r="I5" s="11" t="s">
        <v>10</v>
      </c>
      <c r="J5" s="11" t="s">
        <v>9</v>
      </c>
      <c r="K5" s="11"/>
      <c r="L5" s="8"/>
      <c r="M5" s="5"/>
      <c r="P5" s="5"/>
    </row>
    <row r="6" spans="1:17" x14ac:dyDescent="0.2">
      <c r="A6" s="11"/>
      <c r="B6" s="12" t="s">
        <v>11</v>
      </c>
      <c r="C6" s="11"/>
      <c r="D6" s="11"/>
      <c r="E6" s="11"/>
      <c r="F6" s="8"/>
      <c r="G6" s="11"/>
      <c r="H6" s="12" t="s">
        <v>11</v>
      </c>
      <c r="I6" s="11" t="s">
        <v>12</v>
      </c>
      <c r="J6" s="11"/>
      <c r="K6" s="11"/>
      <c r="L6" s="8"/>
      <c r="M6" s="5"/>
      <c r="P6" s="5"/>
    </row>
    <row r="7" spans="1:17" x14ac:dyDescent="0.2">
      <c r="A7" s="11"/>
      <c r="B7" s="12">
        <v>15</v>
      </c>
      <c r="C7" s="11"/>
      <c r="D7" s="11" t="s">
        <v>9</v>
      </c>
      <c r="E7" s="11"/>
      <c r="F7" s="8"/>
      <c r="G7" s="11"/>
      <c r="H7" s="12">
        <v>15</v>
      </c>
      <c r="I7" s="11"/>
      <c r="J7" s="11" t="s">
        <v>9</v>
      </c>
      <c r="K7" s="11"/>
      <c r="L7" s="8"/>
      <c r="M7" s="5"/>
      <c r="P7" s="5"/>
    </row>
    <row r="8" spans="1:17" x14ac:dyDescent="0.2">
      <c r="A8" s="13">
        <f>A5+2</f>
        <v>102</v>
      </c>
      <c r="B8" s="14">
        <v>0</v>
      </c>
      <c r="C8" s="13" t="s">
        <v>13</v>
      </c>
      <c r="D8" s="13" t="s">
        <v>9</v>
      </c>
      <c r="E8" s="13"/>
      <c r="F8" s="8"/>
      <c r="G8" s="13">
        <f>G5+2</f>
        <v>102</v>
      </c>
      <c r="H8" s="13">
        <v>0</v>
      </c>
      <c r="I8" s="13" t="s">
        <v>14</v>
      </c>
      <c r="J8" s="13" t="s">
        <v>9</v>
      </c>
      <c r="K8" s="13"/>
      <c r="L8" s="8"/>
      <c r="M8" s="5"/>
      <c r="P8" s="5"/>
    </row>
    <row r="9" spans="1:17" x14ac:dyDescent="0.2">
      <c r="A9" s="13"/>
      <c r="B9" s="14">
        <v>1</v>
      </c>
      <c r="C9" s="13" t="s">
        <v>15</v>
      </c>
      <c r="D9" s="13" t="s">
        <v>9</v>
      </c>
      <c r="E9" s="13"/>
      <c r="F9" s="8"/>
      <c r="G9" s="13"/>
      <c r="H9" s="13">
        <v>1</v>
      </c>
      <c r="I9" s="13" t="s">
        <v>16</v>
      </c>
      <c r="J9" s="13" t="s">
        <v>9</v>
      </c>
      <c r="K9" s="13"/>
      <c r="L9" s="8"/>
      <c r="M9" s="5"/>
      <c r="P9" s="5"/>
    </row>
    <row r="10" spans="1:17" x14ac:dyDescent="0.2">
      <c r="A10" s="13"/>
      <c r="B10" s="14">
        <v>2</v>
      </c>
      <c r="C10" s="24" t="s">
        <v>89</v>
      </c>
      <c r="D10" s="24" t="s">
        <v>90</v>
      </c>
      <c r="E10" s="13"/>
      <c r="F10" s="8"/>
      <c r="G10" s="13"/>
      <c r="H10" s="13">
        <v>2</v>
      </c>
      <c r="I10" s="13" t="s">
        <v>146</v>
      </c>
      <c r="J10" s="13"/>
      <c r="K10" s="13"/>
      <c r="L10" s="8"/>
      <c r="M10" s="5"/>
      <c r="P10" s="5"/>
    </row>
    <row r="11" spans="1:17" x14ac:dyDescent="0.2">
      <c r="A11" s="13"/>
      <c r="B11" s="14" t="s">
        <v>17</v>
      </c>
      <c r="C11" s="13"/>
      <c r="D11" s="13"/>
      <c r="E11" s="13" t="s">
        <v>12</v>
      </c>
      <c r="F11" s="8"/>
      <c r="G11" s="13"/>
      <c r="H11" s="14" t="s">
        <v>17</v>
      </c>
      <c r="I11" s="13"/>
      <c r="J11" s="13"/>
      <c r="K11" s="13" t="s">
        <v>12</v>
      </c>
      <c r="L11" s="8"/>
      <c r="M11" s="5"/>
      <c r="P11" s="5"/>
    </row>
    <row r="12" spans="1:17" x14ac:dyDescent="0.2">
      <c r="A12" s="13"/>
      <c r="B12" s="14">
        <v>8</v>
      </c>
      <c r="C12" s="24" t="s">
        <v>125</v>
      </c>
      <c r="D12" s="13" t="s">
        <v>9</v>
      </c>
      <c r="E12" s="13"/>
      <c r="F12" s="8"/>
      <c r="G12" s="13"/>
      <c r="H12" s="13">
        <v>8</v>
      </c>
      <c r="I12" s="13" t="s">
        <v>18</v>
      </c>
      <c r="J12" s="13" t="s">
        <v>9</v>
      </c>
      <c r="K12" s="13"/>
      <c r="L12" s="8"/>
      <c r="M12" s="5"/>
      <c r="P12" s="5"/>
    </row>
    <row r="13" spans="1:17" x14ac:dyDescent="0.2">
      <c r="A13" s="13"/>
      <c r="B13" s="14">
        <v>9</v>
      </c>
      <c r="C13" s="24" t="s">
        <v>124</v>
      </c>
      <c r="D13" s="13" t="s">
        <v>9</v>
      </c>
      <c r="E13" s="13" t="s">
        <v>19</v>
      </c>
      <c r="F13" s="8"/>
      <c r="G13" s="13"/>
      <c r="H13" s="13">
        <v>9</v>
      </c>
      <c r="I13" s="13" t="s">
        <v>20</v>
      </c>
      <c r="J13" s="13" t="s">
        <v>9</v>
      </c>
      <c r="K13" s="13"/>
      <c r="L13" s="8"/>
      <c r="M13" s="5"/>
      <c r="P13" s="5"/>
    </row>
    <row r="14" spans="1:17" x14ac:dyDescent="0.2">
      <c r="A14" s="13"/>
      <c r="B14" s="14">
        <v>10</v>
      </c>
      <c r="C14" s="13" t="s">
        <v>140</v>
      </c>
      <c r="D14" s="13"/>
      <c r="E14" s="13"/>
      <c r="F14" s="8"/>
      <c r="G14" s="13"/>
      <c r="H14" s="14">
        <v>10</v>
      </c>
      <c r="I14" s="13" t="s">
        <v>139</v>
      </c>
      <c r="J14" s="13"/>
      <c r="K14" s="13"/>
      <c r="L14" s="8"/>
      <c r="M14" s="5"/>
      <c r="P14" s="5"/>
    </row>
    <row r="15" spans="1:17" x14ac:dyDescent="0.2">
      <c r="A15" s="13"/>
      <c r="B15" s="14" t="s">
        <v>142</v>
      </c>
      <c r="C15" s="13"/>
      <c r="D15" s="13"/>
      <c r="E15" s="13" t="s">
        <v>141</v>
      </c>
      <c r="F15" s="8"/>
      <c r="G15" s="13"/>
      <c r="H15" s="14" t="s">
        <v>142</v>
      </c>
      <c r="I15" s="13"/>
      <c r="J15" s="13"/>
      <c r="K15" s="13" t="s">
        <v>141</v>
      </c>
      <c r="L15" s="8"/>
      <c r="M15" s="5"/>
      <c r="P15" s="5"/>
    </row>
    <row r="16" spans="1:17" x14ac:dyDescent="0.2">
      <c r="A16" s="13"/>
      <c r="B16" s="14">
        <v>15</v>
      </c>
      <c r="C16" s="13"/>
      <c r="D16" s="13" t="s">
        <v>9</v>
      </c>
      <c r="E16" s="13"/>
      <c r="F16" s="8"/>
      <c r="G16" s="13"/>
      <c r="H16" s="13">
        <v>15</v>
      </c>
      <c r="I16" s="13"/>
      <c r="J16" s="13" t="s">
        <v>9</v>
      </c>
      <c r="K16" s="13"/>
      <c r="L16" s="8"/>
      <c r="M16" s="5"/>
      <c r="P16" s="5"/>
    </row>
    <row r="17" spans="1:16" x14ac:dyDescent="0.2">
      <c r="A17" s="48" t="s">
        <v>21</v>
      </c>
      <c r="B17" s="48"/>
      <c r="C17" s="48"/>
      <c r="D17" s="48"/>
      <c r="E17" s="48"/>
      <c r="F17" s="8"/>
      <c r="G17" s="48" t="s">
        <v>21</v>
      </c>
      <c r="H17" s="48"/>
      <c r="I17" s="48"/>
      <c r="J17" s="48"/>
      <c r="K17" s="48"/>
      <c r="L17" s="8"/>
      <c r="M17" s="5"/>
      <c r="P17" s="5"/>
    </row>
    <row r="18" spans="1:16" x14ac:dyDescent="0.2">
      <c r="A18" s="15">
        <f>A8+12</f>
        <v>114</v>
      </c>
      <c r="B18" s="15">
        <v>0</v>
      </c>
      <c r="C18" s="15" t="s">
        <v>22</v>
      </c>
      <c r="D18" s="15" t="s">
        <v>9</v>
      </c>
      <c r="E18" s="15"/>
      <c r="F18" s="8"/>
      <c r="G18" s="15">
        <f>G8+12</f>
        <v>114</v>
      </c>
      <c r="H18" s="15">
        <v>0</v>
      </c>
      <c r="I18" s="15" t="s">
        <v>23</v>
      </c>
      <c r="J18" s="15" t="s">
        <v>9</v>
      </c>
      <c r="K18" s="15"/>
      <c r="L18" s="8"/>
      <c r="M18" s="5"/>
      <c r="P18" s="5"/>
    </row>
    <row r="19" spans="1:16" x14ac:dyDescent="0.2">
      <c r="A19" s="15"/>
      <c r="B19" s="15"/>
      <c r="C19" s="15" t="s">
        <v>24</v>
      </c>
      <c r="D19" s="15"/>
      <c r="E19" s="15"/>
      <c r="F19" s="8"/>
      <c r="G19" s="15"/>
      <c r="H19" s="16" t="s">
        <v>17</v>
      </c>
      <c r="I19" s="15"/>
      <c r="J19" s="15"/>
      <c r="K19" s="15"/>
      <c r="L19" s="8"/>
      <c r="M19" s="5"/>
      <c r="P19" s="5"/>
    </row>
    <row r="20" spans="1:16" x14ac:dyDescent="0.2">
      <c r="A20" s="15"/>
      <c r="B20" s="15"/>
      <c r="C20" s="15" t="s">
        <v>25</v>
      </c>
      <c r="D20" s="15"/>
      <c r="E20" s="15"/>
      <c r="F20" s="8"/>
      <c r="G20" s="15">
        <f>G18+2</f>
        <v>116</v>
      </c>
      <c r="H20" s="15"/>
      <c r="I20" s="15" t="s">
        <v>26</v>
      </c>
      <c r="J20" s="15" t="s">
        <v>27</v>
      </c>
      <c r="K20" s="15"/>
      <c r="L20" s="8"/>
      <c r="M20" s="5"/>
      <c r="P20" s="5"/>
    </row>
    <row r="21" spans="1:16" x14ac:dyDescent="0.2">
      <c r="A21" s="15"/>
      <c r="B21" s="17" t="s">
        <v>11</v>
      </c>
      <c r="C21" s="15"/>
      <c r="D21" s="15"/>
      <c r="E21" s="15"/>
      <c r="F21" s="8"/>
      <c r="G21" s="15">
        <f>G20+2</f>
        <v>118</v>
      </c>
      <c r="H21" s="15"/>
      <c r="I21" s="23" t="s">
        <v>88</v>
      </c>
      <c r="J21" s="23" t="s">
        <v>87</v>
      </c>
      <c r="K21" s="28" t="s">
        <v>94</v>
      </c>
      <c r="L21" s="8"/>
      <c r="M21" s="5"/>
      <c r="P21" s="5"/>
    </row>
    <row r="22" spans="1:16" x14ac:dyDescent="0.2">
      <c r="A22" s="15">
        <f>A18+2</f>
        <v>116</v>
      </c>
      <c r="B22" s="15">
        <v>8</v>
      </c>
      <c r="C22" s="15" t="s">
        <v>29</v>
      </c>
      <c r="D22" s="15" t="s">
        <v>9</v>
      </c>
      <c r="E22" s="15"/>
      <c r="F22" s="8"/>
      <c r="G22" s="15">
        <f>G21+2</f>
        <v>120</v>
      </c>
      <c r="H22" s="15"/>
      <c r="I22" s="15" t="s">
        <v>28</v>
      </c>
      <c r="J22" s="15" t="s">
        <v>27</v>
      </c>
      <c r="K22" s="15"/>
      <c r="L22" s="8"/>
      <c r="M22" s="5"/>
      <c r="P22" s="5"/>
    </row>
    <row r="23" spans="1:16" x14ac:dyDescent="0.2">
      <c r="A23" s="15"/>
      <c r="B23" s="17" t="s">
        <v>11</v>
      </c>
      <c r="C23" s="15"/>
      <c r="D23" s="15"/>
      <c r="E23" s="15"/>
      <c r="F23" s="8"/>
      <c r="G23" s="15">
        <f>G22+2</f>
        <v>122</v>
      </c>
      <c r="H23" s="15"/>
      <c r="I23" s="15" t="s">
        <v>143</v>
      </c>
      <c r="J23" s="15" t="s">
        <v>144</v>
      </c>
      <c r="K23" s="15"/>
      <c r="L23" s="8"/>
      <c r="M23" s="5"/>
      <c r="P23" s="5"/>
    </row>
    <row r="24" spans="1:16" x14ac:dyDescent="0.2">
      <c r="A24" s="15"/>
      <c r="B24" s="17"/>
      <c r="C24" s="15"/>
      <c r="D24" s="15"/>
      <c r="E24" s="15"/>
      <c r="F24" s="8"/>
      <c r="G24" s="15">
        <f>G23+2</f>
        <v>124</v>
      </c>
      <c r="H24" s="15"/>
      <c r="I24" s="15"/>
      <c r="J24" s="15"/>
      <c r="K24" s="15"/>
      <c r="L24" s="8"/>
      <c r="M24" s="5"/>
      <c r="P24" s="5"/>
    </row>
    <row r="25" spans="1:16" x14ac:dyDescent="0.2">
      <c r="A25" s="15">
        <f>A22+2</f>
        <v>118</v>
      </c>
      <c r="B25" s="15"/>
      <c r="C25" s="15"/>
      <c r="D25" s="15"/>
      <c r="E25" s="15"/>
      <c r="F25" s="8"/>
      <c r="G25" s="15"/>
      <c r="H25" s="15"/>
      <c r="I25" s="15"/>
      <c r="J25" s="15"/>
      <c r="K25" s="15"/>
      <c r="L25" s="8"/>
      <c r="M25" s="5"/>
      <c r="P25" s="5"/>
    </row>
    <row r="26" spans="1:16" x14ac:dyDescent="0.2">
      <c r="A26" s="44" t="s">
        <v>96</v>
      </c>
      <c r="B26" s="49"/>
      <c r="C26" s="49"/>
      <c r="D26" s="49"/>
      <c r="E26" s="49"/>
      <c r="F26" s="8"/>
      <c r="G26" s="49" t="s">
        <v>145</v>
      </c>
      <c r="H26" s="49"/>
      <c r="I26" s="49"/>
      <c r="J26" s="49"/>
      <c r="K26" s="49"/>
      <c r="L26" s="8"/>
      <c r="M26" s="5"/>
      <c r="P26" s="5"/>
    </row>
    <row r="27" spans="1:16" x14ac:dyDescent="0.2">
      <c r="A27" s="18">
        <f>A25+100</f>
        <v>218</v>
      </c>
      <c r="B27" s="18">
        <v>0</v>
      </c>
      <c r="C27" s="18" t="s">
        <v>30</v>
      </c>
      <c r="D27" s="18" t="s">
        <v>9</v>
      </c>
      <c r="E27" s="18" t="s">
        <v>31</v>
      </c>
      <c r="F27" s="8"/>
      <c r="G27" s="18">
        <f>G24+98</f>
        <v>222</v>
      </c>
      <c r="H27" s="18">
        <v>0</v>
      </c>
      <c r="I27" s="18" t="s">
        <v>32</v>
      </c>
      <c r="J27" s="18" t="s">
        <v>9</v>
      </c>
      <c r="K27" s="18"/>
      <c r="L27" s="8"/>
      <c r="M27" s="5"/>
      <c r="P27" s="5"/>
    </row>
    <row r="28" spans="1:16" x14ac:dyDescent="0.2">
      <c r="A28" s="18"/>
      <c r="B28" s="19" t="s">
        <v>11</v>
      </c>
      <c r="C28" s="18"/>
      <c r="D28" s="18"/>
      <c r="E28" s="18"/>
      <c r="F28" s="8"/>
      <c r="G28" s="18"/>
      <c r="H28" s="19" t="s">
        <v>17</v>
      </c>
      <c r="I28" s="18"/>
      <c r="J28" s="18"/>
      <c r="K28" s="18"/>
      <c r="L28" s="8"/>
      <c r="M28" s="5"/>
      <c r="P28" s="5"/>
    </row>
    <row r="29" spans="1:16" x14ac:dyDescent="0.2">
      <c r="A29" s="18">
        <f>A27+2</f>
        <v>220</v>
      </c>
      <c r="B29" s="18"/>
      <c r="C29" s="18" t="s">
        <v>26</v>
      </c>
      <c r="D29" s="18" t="s">
        <v>27</v>
      </c>
      <c r="E29" s="18"/>
      <c r="F29" s="8"/>
      <c r="G29" s="18"/>
      <c r="H29" s="18"/>
      <c r="I29" s="22"/>
      <c r="J29" s="22"/>
      <c r="K29" s="18"/>
      <c r="L29" s="8"/>
      <c r="M29" s="5"/>
      <c r="P29" s="5"/>
    </row>
    <row r="30" spans="1:16" x14ac:dyDescent="0.2">
      <c r="A30" s="18">
        <f>A29+2</f>
        <v>222</v>
      </c>
      <c r="B30" s="18"/>
      <c r="C30" s="22" t="s">
        <v>88</v>
      </c>
      <c r="D30" s="22" t="s">
        <v>87</v>
      </c>
      <c r="E30" s="27" t="s">
        <v>95</v>
      </c>
      <c r="F30" s="8"/>
      <c r="G30" s="18"/>
      <c r="H30" s="18"/>
      <c r="I30" s="22"/>
      <c r="J30" s="22"/>
      <c r="K30" s="18"/>
      <c r="L30" s="8"/>
      <c r="M30" s="5"/>
      <c r="P30" s="5"/>
    </row>
    <row r="31" spans="1:16" x14ac:dyDescent="0.2">
      <c r="A31" s="18">
        <f>A30+2</f>
        <v>224</v>
      </c>
      <c r="B31" s="18"/>
      <c r="C31" s="18" t="s">
        <v>33</v>
      </c>
      <c r="D31" s="18" t="s">
        <v>34</v>
      </c>
      <c r="E31" s="20" t="s">
        <v>35</v>
      </c>
      <c r="F31" s="8"/>
      <c r="G31" s="18">
        <f>G27+2</f>
        <v>224</v>
      </c>
      <c r="H31" s="19"/>
      <c r="I31" s="18"/>
      <c r="J31" s="18"/>
      <c r="K31" s="18" t="s">
        <v>12</v>
      </c>
      <c r="L31" s="8"/>
      <c r="M31" s="5"/>
      <c r="P31" s="5"/>
    </row>
    <row r="32" spans="1:16" x14ac:dyDescent="0.2">
      <c r="A32" s="18">
        <f>A31+44</f>
        <v>268</v>
      </c>
      <c r="B32" s="18"/>
      <c r="C32" s="18"/>
      <c r="D32" s="18"/>
      <c r="E32" s="18" t="s">
        <v>12</v>
      </c>
      <c r="F32" s="8"/>
      <c r="G32" s="18"/>
      <c r="H32" s="18"/>
      <c r="I32" s="18"/>
      <c r="J32" s="18"/>
      <c r="K32" s="18"/>
      <c r="L32" s="8"/>
      <c r="M32" s="5"/>
      <c r="P32" s="5"/>
    </row>
    <row r="33" spans="1:17" x14ac:dyDescent="0.2">
      <c r="A33" s="44" t="s">
        <v>96</v>
      </c>
      <c r="B33" s="49"/>
      <c r="C33" s="49"/>
      <c r="D33" s="49"/>
      <c r="E33" s="49"/>
      <c r="F33" s="8"/>
      <c r="G33" s="44" t="s">
        <v>96</v>
      </c>
      <c r="H33" s="49"/>
      <c r="I33" s="49"/>
      <c r="J33" s="49"/>
      <c r="K33" s="49"/>
      <c r="L33" s="8"/>
      <c r="M33" s="5"/>
      <c r="P33" s="5"/>
    </row>
    <row r="34" spans="1:17" x14ac:dyDescent="0.2">
      <c r="A34" s="29">
        <f>A32+100</f>
        <v>368</v>
      </c>
      <c r="B34" s="29"/>
      <c r="C34" s="30" t="s">
        <v>97</v>
      </c>
      <c r="D34" s="30" t="s">
        <v>98</v>
      </c>
      <c r="E34" s="30"/>
      <c r="F34" s="31"/>
      <c r="G34" s="29">
        <f>G31+100</f>
        <v>324</v>
      </c>
      <c r="H34" s="30">
        <v>0</v>
      </c>
      <c r="I34" s="30" t="s">
        <v>110</v>
      </c>
      <c r="J34" s="30"/>
      <c r="K34" s="30"/>
      <c r="L34" s="8"/>
      <c r="M34" s="5"/>
      <c r="P34" s="5"/>
    </row>
    <row r="35" spans="1:17" x14ac:dyDescent="0.2">
      <c r="A35" s="29"/>
      <c r="B35" s="29" t="s">
        <v>99</v>
      </c>
      <c r="C35" s="30"/>
      <c r="D35" s="30"/>
      <c r="E35" s="30"/>
      <c r="F35" s="31"/>
      <c r="G35" s="29"/>
      <c r="H35" s="29">
        <v>1</v>
      </c>
      <c r="I35" s="30" t="s">
        <v>102</v>
      </c>
      <c r="J35" s="30"/>
      <c r="K35" s="30"/>
      <c r="L35" s="8"/>
      <c r="M35" s="5"/>
      <c r="P35" s="5"/>
    </row>
    <row r="36" spans="1:17" x14ac:dyDescent="0.2">
      <c r="A36" s="29">
        <f>A34+2</f>
        <v>370</v>
      </c>
      <c r="B36" s="29"/>
      <c r="C36" s="30" t="s">
        <v>100</v>
      </c>
      <c r="D36" s="30" t="s">
        <v>101</v>
      </c>
      <c r="E36" s="30"/>
      <c r="F36" s="31"/>
      <c r="G36" s="29"/>
      <c r="H36" s="30">
        <v>2</v>
      </c>
      <c r="I36" s="30" t="s">
        <v>103</v>
      </c>
      <c r="J36" s="30"/>
      <c r="K36" s="30"/>
      <c r="L36" s="8"/>
      <c r="M36" s="5"/>
      <c r="P36" s="5"/>
    </row>
    <row r="37" spans="1:17" x14ac:dyDescent="0.2">
      <c r="A37" s="29">
        <f>A36+2</f>
        <v>372</v>
      </c>
      <c r="B37" s="29"/>
      <c r="C37" s="30" t="s">
        <v>107</v>
      </c>
      <c r="D37" s="30" t="s">
        <v>108</v>
      </c>
      <c r="E37" s="30"/>
      <c r="F37" s="31"/>
      <c r="G37" s="29"/>
      <c r="H37" s="29" t="s">
        <v>99</v>
      </c>
      <c r="I37" s="30"/>
      <c r="J37" s="30"/>
      <c r="K37" s="30"/>
      <c r="L37" s="8"/>
      <c r="M37" s="5"/>
      <c r="P37" s="5"/>
    </row>
    <row r="38" spans="1:17" x14ac:dyDescent="0.2">
      <c r="A38" s="29">
        <f>A37+42</f>
        <v>414</v>
      </c>
      <c r="B38" s="29"/>
      <c r="C38" s="30" t="s">
        <v>115</v>
      </c>
      <c r="D38" s="30" t="s">
        <v>108</v>
      </c>
      <c r="E38" s="30"/>
      <c r="F38" s="31"/>
      <c r="G38" s="29"/>
      <c r="H38" s="29"/>
      <c r="I38" s="30"/>
      <c r="J38" s="30"/>
      <c r="K38" s="30"/>
      <c r="L38" s="8"/>
      <c r="M38" s="5"/>
      <c r="P38" s="5"/>
    </row>
    <row r="39" spans="1:17" x14ac:dyDescent="0.2">
      <c r="A39" s="29">
        <f>A38+42</f>
        <v>456</v>
      </c>
      <c r="B39" s="29"/>
      <c r="C39" s="30"/>
      <c r="D39" s="30"/>
      <c r="E39" s="30"/>
      <c r="F39" s="31"/>
      <c r="G39" s="29"/>
      <c r="H39" s="29"/>
      <c r="I39" s="30"/>
      <c r="J39" s="30"/>
      <c r="K39" s="30"/>
      <c r="L39" s="8"/>
      <c r="M39" s="5"/>
      <c r="P39" s="5"/>
    </row>
    <row r="40" spans="1:17" x14ac:dyDescent="0.2">
      <c r="A40" s="29"/>
      <c r="B40" s="29"/>
      <c r="C40" s="30"/>
      <c r="D40" s="30"/>
      <c r="E40" s="30"/>
      <c r="F40" s="31"/>
      <c r="G40" s="29">
        <f>G34+2</f>
        <v>326</v>
      </c>
      <c r="H40" s="30"/>
      <c r="I40" s="30"/>
      <c r="J40" s="30"/>
      <c r="K40" s="30"/>
      <c r="L40" s="8"/>
      <c r="M40" s="5"/>
      <c r="P40" s="5"/>
    </row>
    <row r="41" spans="1:17" x14ac:dyDescent="0.2">
      <c r="A41" s="44" t="s">
        <v>96</v>
      </c>
      <c r="B41" s="44"/>
      <c r="C41" s="44"/>
      <c r="D41" s="44"/>
      <c r="E41" s="44"/>
      <c r="F41" s="31"/>
      <c r="G41" s="44" t="s">
        <v>96</v>
      </c>
      <c r="H41" s="44"/>
      <c r="I41" s="44"/>
      <c r="J41" s="44"/>
      <c r="K41" s="44"/>
      <c r="L41" s="8"/>
      <c r="M41" s="5"/>
      <c r="P41" s="5"/>
    </row>
    <row r="42" spans="1:17" x14ac:dyDescent="0.2">
      <c r="A42" s="32">
        <f>A39+100</f>
        <v>556</v>
      </c>
      <c r="B42" s="32"/>
      <c r="C42" s="33" t="s">
        <v>111</v>
      </c>
      <c r="D42" s="33" t="s">
        <v>98</v>
      </c>
      <c r="E42" s="33"/>
      <c r="F42" s="31"/>
      <c r="G42" s="32">
        <f>G40+100</f>
        <v>426</v>
      </c>
      <c r="H42" s="33">
        <v>0</v>
      </c>
      <c r="I42" s="33" t="s">
        <v>112</v>
      </c>
      <c r="J42" s="33"/>
      <c r="K42" s="33"/>
      <c r="L42" s="8"/>
    </row>
    <row r="43" spans="1:17" x14ac:dyDescent="0.2">
      <c r="A43" s="32"/>
      <c r="B43" s="32" t="s">
        <v>99</v>
      </c>
      <c r="C43" s="33"/>
      <c r="D43" s="33"/>
      <c r="E43" s="33"/>
      <c r="F43" s="31"/>
      <c r="G43" s="32"/>
      <c r="H43" s="32">
        <v>1</v>
      </c>
      <c r="I43" s="33" t="s">
        <v>113</v>
      </c>
      <c r="J43" s="33"/>
      <c r="K43" s="33"/>
      <c r="L43" s="8"/>
      <c r="M43" s="9"/>
      <c r="N43" s="8"/>
      <c r="O43" s="8"/>
      <c r="P43" s="21"/>
      <c r="Q43" s="8"/>
    </row>
    <row r="44" spans="1:17" x14ac:dyDescent="0.2">
      <c r="A44" s="32">
        <f>A42+2</f>
        <v>558</v>
      </c>
      <c r="B44" s="32"/>
      <c r="C44" s="33" t="s">
        <v>100</v>
      </c>
      <c r="D44" s="33" t="s">
        <v>101</v>
      </c>
      <c r="E44" s="33"/>
      <c r="F44" s="31"/>
      <c r="G44" s="32"/>
      <c r="H44" s="33">
        <v>2</v>
      </c>
      <c r="I44" s="33" t="s">
        <v>114</v>
      </c>
      <c r="J44" s="33"/>
      <c r="K44" s="33"/>
      <c r="M44" s="9"/>
      <c r="N44" s="8"/>
      <c r="O44" s="8"/>
      <c r="P44" s="21"/>
      <c r="Q44" s="8"/>
    </row>
    <row r="45" spans="1:17" x14ac:dyDescent="0.2">
      <c r="A45" s="32">
        <f>A44+2</f>
        <v>560</v>
      </c>
      <c r="B45" s="32"/>
      <c r="C45" s="33" t="s">
        <v>115</v>
      </c>
      <c r="D45" s="33" t="s">
        <v>108</v>
      </c>
      <c r="E45" s="33"/>
      <c r="F45" s="31"/>
      <c r="G45" s="32"/>
      <c r="H45" s="32" t="s">
        <v>99</v>
      </c>
      <c r="I45" s="33"/>
      <c r="J45" s="33"/>
      <c r="K45" s="33"/>
      <c r="L45" s="8"/>
      <c r="M45" s="9"/>
      <c r="N45" s="8"/>
      <c r="O45" s="8"/>
      <c r="P45" s="21"/>
      <c r="Q45" s="8"/>
    </row>
    <row r="46" spans="1:17" x14ac:dyDescent="0.2">
      <c r="A46" s="32">
        <f>A45+42</f>
        <v>602</v>
      </c>
      <c r="B46" s="32"/>
      <c r="C46" s="33"/>
      <c r="D46" s="33"/>
      <c r="E46" s="33"/>
      <c r="F46" s="31"/>
      <c r="G46" s="32"/>
      <c r="H46" s="32"/>
      <c r="I46" s="33"/>
      <c r="J46" s="33"/>
      <c r="K46" s="33"/>
      <c r="L46" s="8"/>
      <c r="M46" s="9"/>
      <c r="N46" s="8"/>
      <c r="O46" s="8"/>
      <c r="P46" s="21"/>
      <c r="Q46" s="8"/>
    </row>
    <row r="47" spans="1:17" x14ac:dyDescent="0.2">
      <c r="A47" s="32"/>
      <c r="B47" s="32"/>
      <c r="C47" s="33"/>
      <c r="D47" s="33"/>
      <c r="E47" s="33"/>
      <c r="F47" s="31"/>
      <c r="G47" s="32">
        <f>G42+2</f>
        <v>428</v>
      </c>
      <c r="H47" s="33"/>
      <c r="I47" s="33"/>
      <c r="J47" s="33"/>
      <c r="K47" s="33"/>
      <c r="L47" s="8"/>
      <c r="M47" s="9"/>
      <c r="N47" s="8"/>
      <c r="O47" s="8"/>
      <c r="P47" s="21"/>
      <c r="Q47" s="8"/>
    </row>
    <row r="48" spans="1:17" x14ac:dyDescent="0.2">
      <c r="A48" s="44" t="s">
        <v>96</v>
      </c>
      <c r="B48" s="44"/>
      <c r="C48" s="44"/>
      <c r="D48" s="44"/>
      <c r="E48" s="44"/>
      <c r="F48" s="31"/>
      <c r="G48" s="44" t="s">
        <v>96</v>
      </c>
      <c r="H48" s="44"/>
      <c r="I48" s="44"/>
      <c r="J48" s="44"/>
      <c r="K48" s="44"/>
      <c r="L48" s="8"/>
      <c r="M48" s="9"/>
      <c r="N48" s="8"/>
      <c r="O48" s="8"/>
      <c r="P48" s="21"/>
      <c r="Q48" s="8"/>
    </row>
    <row r="49" spans="1:17" x14ac:dyDescent="0.2">
      <c r="A49" s="34">
        <f>A46+100</f>
        <v>702</v>
      </c>
      <c r="B49" s="35">
        <v>0</v>
      </c>
      <c r="C49" s="35" t="s">
        <v>109</v>
      </c>
      <c r="D49" s="35"/>
      <c r="E49" s="35"/>
      <c r="F49" s="31"/>
      <c r="G49" s="34">
        <f>G47+100</f>
        <v>528</v>
      </c>
      <c r="H49" s="34">
        <v>0</v>
      </c>
      <c r="I49" s="35" t="s">
        <v>106</v>
      </c>
      <c r="J49" s="35"/>
      <c r="K49" s="35"/>
      <c r="L49" s="8"/>
      <c r="M49" s="9"/>
      <c r="N49" s="8"/>
      <c r="O49" s="8"/>
      <c r="P49" s="21"/>
      <c r="Q49" s="8"/>
    </row>
    <row r="50" spans="1:17" x14ac:dyDescent="0.2">
      <c r="A50" s="34"/>
      <c r="B50" s="34">
        <v>1</v>
      </c>
      <c r="C50" s="35" t="s">
        <v>104</v>
      </c>
      <c r="D50" s="35"/>
      <c r="E50" s="35"/>
      <c r="F50" s="31"/>
      <c r="G50" s="34"/>
      <c r="H50" s="34" t="s">
        <v>99</v>
      </c>
      <c r="I50" s="35"/>
      <c r="J50" s="35"/>
      <c r="K50" s="35"/>
      <c r="L50" s="8"/>
    </row>
    <row r="51" spans="1:17" x14ac:dyDescent="0.2">
      <c r="A51" s="34"/>
      <c r="B51" s="35">
        <v>2</v>
      </c>
      <c r="C51" s="35" t="s">
        <v>105</v>
      </c>
      <c r="D51" s="35"/>
      <c r="E51" s="35"/>
      <c r="F51" s="36"/>
      <c r="G51" s="34">
        <f>G49+2</f>
        <v>530</v>
      </c>
      <c r="H51" s="34"/>
      <c r="I51" s="35" t="s">
        <v>117</v>
      </c>
      <c r="J51" s="35" t="s">
        <v>101</v>
      </c>
      <c r="K51" s="35" t="s">
        <v>118</v>
      </c>
      <c r="L51" s="8"/>
    </row>
    <row r="52" spans="1:17" x14ac:dyDescent="0.2">
      <c r="A52" s="34"/>
      <c r="B52" s="34" t="s">
        <v>99</v>
      </c>
      <c r="C52" s="35"/>
      <c r="D52" s="35"/>
      <c r="E52" s="35"/>
      <c r="F52" s="36"/>
      <c r="G52" s="34">
        <f>G51+2</f>
        <v>532</v>
      </c>
      <c r="H52" s="34"/>
      <c r="I52" s="35" t="s">
        <v>100</v>
      </c>
      <c r="J52" s="35" t="s">
        <v>101</v>
      </c>
      <c r="K52" s="35"/>
    </row>
    <row r="53" spans="1:17" x14ac:dyDescent="0.2">
      <c r="A53" s="34"/>
      <c r="B53" s="34"/>
      <c r="C53" s="35"/>
      <c r="D53" s="35"/>
      <c r="E53" s="35"/>
      <c r="F53" s="36"/>
      <c r="G53" s="34">
        <f>G52+2</f>
        <v>534</v>
      </c>
      <c r="H53" s="34"/>
      <c r="I53" s="35" t="s">
        <v>107</v>
      </c>
      <c r="J53" s="35" t="s">
        <v>108</v>
      </c>
      <c r="K53" s="35"/>
    </row>
    <row r="54" spans="1:17" x14ac:dyDescent="0.2">
      <c r="A54" s="34"/>
      <c r="B54" s="34"/>
      <c r="C54" s="35"/>
      <c r="D54" s="35"/>
      <c r="E54" s="35"/>
      <c r="F54" s="36"/>
      <c r="G54" s="34">
        <f>G53+42</f>
        <v>576</v>
      </c>
      <c r="H54" s="34"/>
      <c r="I54" s="35" t="s">
        <v>116</v>
      </c>
      <c r="J54" s="35" t="s">
        <v>108</v>
      </c>
      <c r="K54" s="35"/>
    </row>
    <row r="55" spans="1:17" x14ac:dyDescent="0.2">
      <c r="A55" s="34"/>
      <c r="B55" s="34"/>
      <c r="C55" s="35"/>
      <c r="D55" s="35"/>
      <c r="E55" s="35"/>
      <c r="F55" s="36"/>
      <c r="G55" s="34">
        <f>G54+42</f>
        <v>618</v>
      </c>
      <c r="H55" s="34"/>
      <c r="I55" s="35" t="s">
        <v>115</v>
      </c>
      <c r="J55" s="35" t="s">
        <v>108</v>
      </c>
      <c r="K55" s="35"/>
    </row>
    <row r="56" spans="1:17" x14ac:dyDescent="0.2">
      <c r="A56" s="34">
        <f>A49+2</f>
        <v>704</v>
      </c>
      <c r="B56" s="35"/>
      <c r="C56" s="35"/>
      <c r="D56" s="35"/>
      <c r="E56" s="35"/>
      <c r="G56" s="34">
        <f>G55+42</f>
        <v>660</v>
      </c>
      <c r="H56" s="35"/>
      <c r="I56" s="35"/>
      <c r="J56" s="35"/>
      <c r="K56" s="35"/>
    </row>
    <row r="57" spans="1:17" x14ac:dyDescent="0.2">
      <c r="A57" s="44" t="s">
        <v>96</v>
      </c>
      <c r="B57" s="44"/>
      <c r="C57" s="44"/>
      <c r="D57" s="44"/>
      <c r="E57" s="44"/>
      <c r="G57" s="44" t="s">
        <v>96</v>
      </c>
      <c r="H57" s="44"/>
      <c r="I57" s="44"/>
      <c r="J57" s="44"/>
      <c r="K57" s="44"/>
    </row>
    <row r="58" spans="1:17" x14ac:dyDescent="0.2">
      <c r="A58" s="37">
        <f>A56+100</f>
        <v>804</v>
      </c>
      <c r="B58" s="37">
        <v>0</v>
      </c>
      <c r="C58" s="38" t="s">
        <v>120</v>
      </c>
      <c r="D58" s="37"/>
      <c r="E58" s="37"/>
      <c r="G58" s="37">
        <f>G56+100</f>
        <v>760</v>
      </c>
      <c r="H58" s="37">
        <v>0</v>
      </c>
      <c r="I58" s="38" t="s">
        <v>119</v>
      </c>
      <c r="J58" s="37"/>
      <c r="K58" s="37"/>
    </row>
    <row r="59" spans="1:17" x14ac:dyDescent="0.2">
      <c r="A59" s="37"/>
      <c r="B59" s="39">
        <v>1</v>
      </c>
      <c r="C59" s="39" t="s">
        <v>121</v>
      </c>
      <c r="D59" s="37"/>
      <c r="E59" s="37"/>
      <c r="G59" s="37"/>
      <c r="H59" s="38" t="s">
        <v>123</v>
      </c>
      <c r="I59" s="37"/>
      <c r="J59" s="37"/>
      <c r="K59" s="37"/>
    </row>
    <row r="60" spans="1:17" x14ac:dyDescent="0.2">
      <c r="A60" s="37"/>
      <c r="B60" s="40">
        <v>2</v>
      </c>
      <c r="C60" s="39" t="s">
        <v>122</v>
      </c>
      <c r="D60" s="37"/>
      <c r="E60" s="37"/>
      <c r="G60" s="37">
        <f>G58+2</f>
        <v>762</v>
      </c>
      <c r="H60" s="37"/>
      <c r="I60" s="37"/>
      <c r="J60" s="37"/>
      <c r="K60" s="37"/>
    </row>
    <row r="61" spans="1:17" x14ac:dyDescent="0.2">
      <c r="A61" s="37"/>
      <c r="B61" s="22" t="s">
        <v>123</v>
      </c>
      <c r="C61" s="37"/>
      <c r="D61" s="37"/>
      <c r="E61" s="37"/>
      <c r="G61" s="37"/>
      <c r="H61" s="37"/>
      <c r="I61" s="37"/>
      <c r="J61" s="37"/>
      <c r="K61" s="37"/>
    </row>
    <row r="62" spans="1:17" x14ac:dyDescent="0.2">
      <c r="A62" s="37">
        <f>A58+2</f>
        <v>806</v>
      </c>
      <c r="B62" s="18"/>
      <c r="C62" s="37"/>
      <c r="D62" s="37"/>
      <c r="E62" s="37"/>
      <c r="G62" s="37"/>
      <c r="H62" s="37"/>
      <c r="I62" s="37"/>
      <c r="J62" s="37"/>
      <c r="K62" s="37"/>
    </row>
    <row r="63" spans="1:17" x14ac:dyDescent="0.2">
      <c r="A63" s="44" t="s">
        <v>96</v>
      </c>
      <c r="B63" s="44"/>
      <c r="C63" s="44"/>
      <c r="D63" s="44"/>
      <c r="E63" s="44"/>
    </row>
    <row r="64" spans="1:17" x14ac:dyDescent="0.2">
      <c r="A64" s="41">
        <v>906</v>
      </c>
      <c r="B64" s="42">
        <v>0</v>
      </c>
      <c r="C64" s="41" t="s">
        <v>126</v>
      </c>
      <c r="D64" s="41"/>
      <c r="E64" s="41"/>
    </row>
    <row r="65" spans="1:10" x14ac:dyDescent="0.2">
      <c r="A65" s="41"/>
      <c r="B65" s="42">
        <v>1</v>
      </c>
      <c r="C65" s="43" t="s">
        <v>127</v>
      </c>
      <c r="D65" s="41"/>
      <c r="E65" s="41"/>
    </row>
    <row r="66" spans="1:10" x14ac:dyDescent="0.2">
      <c r="A66" s="41"/>
      <c r="B66" s="42">
        <v>2</v>
      </c>
      <c r="C66" s="43" t="s">
        <v>128</v>
      </c>
      <c r="D66" s="41"/>
      <c r="E66" s="41"/>
    </row>
    <row r="67" spans="1:10" x14ac:dyDescent="0.2">
      <c r="A67" s="41"/>
      <c r="B67" s="42">
        <v>3</v>
      </c>
      <c r="C67" s="41" t="s">
        <v>129</v>
      </c>
      <c r="D67" s="41"/>
      <c r="E67" s="41"/>
    </row>
    <row r="68" spans="1:10" x14ac:dyDescent="0.2">
      <c r="A68" s="41"/>
      <c r="B68" s="42">
        <v>4</v>
      </c>
      <c r="C68" s="41" t="s">
        <v>130</v>
      </c>
      <c r="D68" s="41"/>
      <c r="E68" s="41"/>
    </row>
    <row r="69" spans="1:10" x14ac:dyDescent="0.2">
      <c r="A69" s="41"/>
      <c r="B69" s="42">
        <v>5</v>
      </c>
      <c r="C69" s="41" t="s">
        <v>131</v>
      </c>
      <c r="D69" s="41"/>
      <c r="E69" s="41"/>
      <c r="J69" s="5" t="s">
        <v>138</v>
      </c>
    </row>
    <row r="70" spans="1:10" x14ac:dyDescent="0.2">
      <c r="A70" s="41"/>
      <c r="B70" s="42">
        <v>5</v>
      </c>
      <c r="C70" s="43" t="s">
        <v>132</v>
      </c>
      <c r="D70" s="41"/>
      <c r="E70" s="41"/>
    </row>
    <row r="71" spans="1:10" x14ac:dyDescent="0.2">
      <c r="A71" s="41"/>
      <c r="B71" s="41"/>
      <c r="C71" s="41"/>
      <c r="D71" s="41"/>
      <c r="E71" s="41"/>
    </row>
    <row r="72" spans="1:10" x14ac:dyDescent="0.2">
      <c r="A72" s="41"/>
      <c r="B72" s="41"/>
      <c r="C72" s="41"/>
      <c r="D72" s="41"/>
      <c r="E72" s="41"/>
    </row>
    <row r="73" spans="1:10" x14ac:dyDescent="0.2">
      <c r="A73" s="41"/>
      <c r="B73" s="41"/>
      <c r="C73" s="41"/>
      <c r="D73" s="41"/>
      <c r="E73" s="41"/>
    </row>
    <row r="74" spans="1:10" x14ac:dyDescent="0.2">
      <c r="A74" s="45" t="s">
        <v>137</v>
      </c>
      <c r="B74" s="46"/>
      <c r="C74" s="46"/>
      <c r="D74" s="46"/>
      <c r="E74" s="46"/>
    </row>
    <row r="75" spans="1:10" x14ac:dyDescent="0.2">
      <c r="A75" s="41">
        <v>918</v>
      </c>
      <c r="B75" s="42">
        <v>0</v>
      </c>
      <c r="C75" s="43" t="s">
        <v>133</v>
      </c>
      <c r="D75" s="41"/>
      <c r="E75" s="41"/>
    </row>
    <row r="76" spans="1:10" x14ac:dyDescent="0.2">
      <c r="A76" s="41"/>
      <c r="B76" s="42">
        <v>1</v>
      </c>
      <c r="C76" s="43" t="s">
        <v>134</v>
      </c>
      <c r="D76" s="41"/>
      <c r="E76" s="41"/>
    </row>
    <row r="77" spans="1:10" x14ac:dyDescent="0.2">
      <c r="A77" s="41"/>
      <c r="B77" s="42">
        <v>2</v>
      </c>
      <c r="C77" s="41" t="s">
        <v>135</v>
      </c>
      <c r="D77" s="41"/>
      <c r="E77" s="41"/>
    </row>
    <row r="78" spans="1:10" x14ac:dyDescent="0.2">
      <c r="A78" s="41"/>
      <c r="B78" s="42">
        <v>3</v>
      </c>
      <c r="C78" s="41" t="s">
        <v>136</v>
      </c>
      <c r="D78" s="41"/>
      <c r="E78" s="41"/>
    </row>
    <row r="79" spans="1:10" x14ac:dyDescent="0.2">
      <c r="A79" s="41"/>
      <c r="B79" s="42">
        <v>4</v>
      </c>
      <c r="C79" s="41"/>
      <c r="D79" s="41"/>
      <c r="E79" s="41"/>
    </row>
    <row r="80" spans="1:10" x14ac:dyDescent="0.2">
      <c r="A80" s="41"/>
      <c r="B80" s="42">
        <v>5</v>
      </c>
      <c r="C80" s="41"/>
      <c r="D80" s="41"/>
      <c r="E80" s="41"/>
    </row>
    <row r="81" spans="1:5" x14ac:dyDescent="0.2">
      <c r="A81" s="41"/>
      <c r="B81" s="42">
        <v>5</v>
      </c>
      <c r="C81" s="41"/>
      <c r="D81" s="41"/>
      <c r="E81" s="41"/>
    </row>
    <row r="82" spans="1:5" x14ac:dyDescent="0.2">
      <c r="A82" s="41"/>
      <c r="B82" s="41"/>
      <c r="C82" s="41"/>
      <c r="D82" s="41"/>
      <c r="E82" s="41"/>
    </row>
    <row r="83" spans="1:5" x14ac:dyDescent="0.2">
      <c r="A83" s="41"/>
      <c r="B83" s="41"/>
      <c r="C83" s="41"/>
      <c r="D83" s="41"/>
      <c r="E83" s="41"/>
    </row>
    <row r="84" spans="1:5" x14ac:dyDescent="0.2">
      <c r="A84" s="41"/>
      <c r="B84" s="41"/>
      <c r="C84" s="41"/>
      <c r="D84" s="41"/>
      <c r="E84" s="41"/>
    </row>
  </sheetData>
  <mergeCells count="16">
    <mergeCell ref="A63:E63"/>
    <mergeCell ref="A74:E74"/>
    <mergeCell ref="A3:E3"/>
    <mergeCell ref="G3:K3"/>
    <mergeCell ref="A17:E17"/>
    <mergeCell ref="G17:K17"/>
    <mergeCell ref="G26:K26"/>
    <mergeCell ref="A26:E26"/>
    <mergeCell ref="A57:E57"/>
    <mergeCell ref="G57:K57"/>
    <mergeCell ref="A33:E33"/>
    <mergeCell ref="G33:K33"/>
    <mergeCell ref="A41:E41"/>
    <mergeCell ref="A48:E48"/>
    <mergeCell ref="G48:K48"/>
    <mergeCell ref="G41:K41"/>
  </mergeCells>
  <phoneticPr fontId="9" type="noConversion"/>
  <hyperlinks>
    <hyperlink ref="E31" location="Sheet2!B2" display="参照【拧紧数据】结构"/>
    <hyperlink ref="E30" location="Sheet2!I2" display="参照【拧紧枪品牌】"/>
    <hyperlink ref="K21" location="Sheet2!I2" display="参照【拧紧枪品牌】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>
      <selection activeCell="B2" sqref="B2:F2"/>
    </sheetView>
  </sheetViews>
  <sheetFormatPr defaultColWidth="9" defaultRowHeight="13.5" x14ac:dyDescent="0.15"/>
  <cols>
    <col min="2" max="2" width="7" customWidth="1"/>
    <col min="3" max="3" width="2.375" customWidth="1"/>
    <col min="4" max="4" width="17.375" customWidth="1"/>
    <col min="5" max="5" width="5.125" customWidth="1"/>
    <col min="6" max="6" width="12.875" customWidth="1"/>
  </cols>
  <sheetData>
    <row r="2" spans="2:10" ht="14.25" x14ac:dyDescent="0.2">
      <c r="B2" s="50" t="s">
        <v>36</v>
      </c>
      <c r="C2" s="51"/>
      <c r="D2" s="51"/>
      <c r="E2" s="51"/>
      <c r="F2" s="52"/>
      <c r="I2" s="53" t="s">
        <v>91</v>
      </c>
      <c r="J2" s="53"/>
    </row>
    <row r="3" spans="2:10" ht="14.25" x14ac:dyDescent="0.2">
      <c r="B3" s="1" t="s">
        <v>4</v>
      </c>
      <c r="C3" s="2"/>
      <c r="D3" s="3" t="s">
        <v>5</v>
      </c>
      <c r="E3" s="1" t="s">
        <v>37</v>
      </c>
      <c r="F3" s="3" t="s">
        <v>7</v>
      </c>
      <c r="I3" s="25" t="s">
        <v>92</v>
      </c>
      <c r="J3" s="26">
        <v>1</v>
      </c>
    </row>
    <row r="4" spans="2:10" ht="14.25" x14ac:dyDescent="0.2">
      <c r="B4" s="4">
        <v>0</v>
      </c>
      <c r="C4" s="2">
        <v>0</v>
      </c>
      <c r="D4" s="2" t="s">
        <v>38</v>
      </c>
      <c r="E4" s="1" t="s">
        <v>39</v>
      </c>
      <c r="F4" s="2" t="s">
        <v>40</v>
      </c>
      <c r="I4" s="25" t="s">
        <v>93</v>
      </c>
      <c r="J4" s="26">
        <v>2</v>
      </c>
    </row>
    <row r="5" spans="2:10" ht="14.25" x14ac:dyDescent="0.2">
      <c r="B5" s="4"/>
      <c r="C5" s="2">
        <v>1</v>
      </c>
      <c r="D5" s="2" t="s">
        <v>41</v>
      </c>
      <c r="E5" s="1" t="s">
        <v>39</v>
      </c>
      <c r="F5" s="2" t="s">
        <v>42</v>
      </c>
    </row>
    <row r="6" spans="2:10" ht="14.25" x14ac:dyDescent="0.2">
      <c r="B6" s="4"/>
      <c r="C6" s="2">
        <v>2</v>
      </c>
      <c r="D6" s="2" t="s">
        <v>43</v>
      </c>
      <c r="E6" s="1" t="s">
        <v>39</v>
      </c>
      <c r="F6" s="2" t="s">
        <v>44</v>
      </c>
    </row>
    <row r="7" spans="2:10" ht="14.25" x14ac:dyDescent="0.2">
      <c r="B7" s="4"/>
      <c r="C7" s="2">
        <v>3</v>
      </c>
      <c r="D7" s="2" t="s">
        <v>45</v>
      </c>
      <c r="E7" s="1" t="s">
        <v>39</v>
      </c>
      <c r="F7" s="2" t="s">
        <v>46</v>
      </c>
    </row>
    <row r="8" spans="2:10" ht="14.25" x14ac:dyDescent="0.2">
      <c r="B8" s="4"/>
      <c r="C8" s="2">
        <v>4</v>
      </c>
      <c r="D8" s="2" t="s">
        <v>47</v>
      </c>
      <c r="E8" s="1" t="s">
        <v>39</v>
      </c>
      <c r="F8" s="2" t="s">
        <v>48</v>
      </c>
    </row>
    <row r="9" spans="2:10" ht="14.25" x14ac:dyDescent="0.2">
      <c r="B9" s="4"/>
      <c r="C9" s="2">
        <v>5</v>
      </c>
      <c r="D9" s="2" t="s">
        <v>49</v>
      </c>
      <c r="E9" s="1" t="s">
        <v>39</v>
      </c>
      <c r="F9" s="2" t="s">
        <v>44</v>
      </c>
    </row>
    <row r="10" spans="2:10" ht="14.25" x14ac:dyDescent="0.2">
      <c r="B10" s="4"/>
      <c r="C10" s="2">
        <v>6</v>
      </c>
      <c r="D10" s="2" t="s">
        <v>50</v>
      </c>
      <c r="E10" s="1" t="s">
        <v>39</v>
      </c>
      <c r="F10" s="2" t="s">
        <v>44</v>
      </c>
    </row>
    <row r="11" spans="2:10" ht="14.25" x14ac:dyDescent="0.2">
      <c r="B11" s="4"/>
      <c r="C11" s="2">
        <v>7</v>
      </c>
      <c r="D11" s="2" t="s">
        <v>51</v>
      </c>
      <c r="E11" s="1" t="s">
        <v>39</v>
      </c>
      <c r="F11" s="2" t="s">
        <v>44</v>
      </c>
    </row>
    <row r="12" spans="2:10" ht="14.25" x14ac:dyDescent="0.2">
      <c r="B12" s="4">
        <v>1</v>
      </c>
      <c r="C12" s="2">
        <v>0</v>
      </c>
      <c r="D12" s="2" t="s">
        <v>52</v>
      </c>
      <c r="E12" s="1" t="s">
        <v>39</v>
      </c>
      <c r="F12" s="2" t="s">
        <v>44</v>
      </c>
    </row>
    <row r="13" spans="2:10" ht="14.25" x14ac:dyDescent="0.2">
      <c r="B13" s="4"/>
      <c r="C13" s="2">
        <v>1</v>
      </c>
      <c r="D13" s="2" t="s">
        <v>53</v>
      </c>
      <c r="E13" s="1" t="s">
        <v>39</v>
      </c>
      <c r="F13" s="2" t="s">
        <v>44</v>
      </c>
    </row>
    <row r="14" spans="2:10" ht="14.25" x14ac:dyDescent="0.2">
      <c r="B14" s="4"/>
      <c r="C14" s="2">
        <v>2</v>
      </c>
      <c r="D14" s="2" t="s">
        <v>54</v>
      </c>
      <c r="E14" s="1" t="s">
        <v>39</v>
      </c>
      <c r="F14" s="2" t="s">
        <v>44</v>
      </c>
    </row>
    <row r="15" spans="2:10" ht="14.25" x14ac:dyDescent="0.2">
      <c r="B15" s="4"/>
      <c r="C15" s="2">
        <v>3</v>
      </c>
      <c r="D15" s="2" t="s">
        <v>55</v>
      </c>
      <c r="E15" s="1" t="s">
        <v>39</v>
      </c>
      <c r="F15" s="2" t="s">
        <v>44</v>
      </c>
    </row>
    <row r="16" spans="2:10" ht="14.25" x14ac:dyDescent="0.2">
      <c r="B16" s="4"/>
      <c r="C16" s="2">
        <v>4</v>
      </c>
      <c r="D16" s="2" t="s">
        <v>56</v>
      </c>
      <c r="E16" s="1" t="s">
        <v>39</v>
      </c>
      <c r="F16" s="2" t="s">
        <v>44</v>
      </c>
    </row>
    <row r="17" spans="2:6" ht="14.25" x14ac:dyDescent="0.2">
      <c r="B17" s="4"/>
      <c r="C17" s="2">
        <v>5</v>
      </c>
      <c r="D17" s="2" t="s">
        <v>57</v>
      </c>
      <c r="E17" s="1" t="s">
        <v>39</v>
      </c>
      <c r="F17" s="2" t="s">
        <v>44</v>
      </c>
    </row>
    <row r="18" spans="2:6" ht="14.25" x14ac:dyDescent="0.2">
      <c r="B18" s="4"/>
      <c r="C18" s="2">
        <v>6</v>
      </c>
      <c r="D18" s="2" t="s">
        <v>58</v>
      </c>
      <c r="E18" s="1" t="s">
        <v>39</v>
      </c>
      <c r="F18" s="2" t="s">
        <v>44</v>
      </c>
    </row>
    <row r="19" spans="2:6" ht="14.25" x14ac:dyDescent="0.2">
      <c r="B19" s="4"/>
      <c r="C19" s="2">
        <v>7</v>
      </c>
      <c r="D19" s="2" t="s">
        <v>59</v>
      </c>
      <c r="E19" s="1" t="s">
        <v>39</v>
      </c>
      <c r="F19" s="2" t="s">
        <v>44</v>
      </c>
    </row>
    <row r="20" spans="2:6" ht="14.25" x14ac:dyDescent="0.2">
      <c r="B20" s="4">
        <v>2</v>
      </c>
      <c r="C20" s="2" t="s">
        <v>60</v>
      </c>
      <c r="D20" s="2" t="s">
        <v>61</v>
      </c>
      <c r="E20" s="1" t="s">
        <v>62</v>
      </c>
      <c r="F20" s="2" t="s">
        <v>63</v>
      </c>
    </row>
    <row r="21" spans="2:6" ht="14.25" x14ac:dyDescent="0.2">
      <c r="B21" s="4">
        <v>4</v>
      </c>
      <c r="C21" s="2"/>
      <c r="D21" s="2" t="s">
        <v>64</v>
      </c>
      <c r="E21" s="1" t="s">
        <v>65</v>
      </c>
      <c r="F21" s="2" t="s">
        <v>66</v>
      </c>
    </row>
    <row r="22" spans="2:6" ht="14.25" x14ac:dyDescent="0.2">
      <c r="B22" s="4">
        <v>8</v>
      </c>
      <c r="C22" s="2"/>
      <c r="D22" s="2" t="s">
        <v>67</v>
      </c>
      <c r="E22" s="1" t="s">
        <v>62</v>
      </c>
      <c r="F22" s="2" t="s">
        <v>68</v>
      </c>
    </row>
    <row r="23" spans="2:6" ht="14.25" x14ac:dyDescent="0.2">
      <c r="B23" s="4">
        <v>10</v>
      </c>
      <c r="C23" s="2"/>
      <c r="D23" s="2" t="s">
        <v>69</v>
      </c>
      <c r="E23" s="1" t="s">
        <v>62</v>
      </c>
      <c r="F23" s="2" t="s">
        <v>66</v>
      </c>
    </row>
    <row r="24" spans="2:6" ht="14.25" x14ac:dyDescent="0.2">
      <c r="B24" s="4">
        <v>12</v>
      </c>
      <c r="C24" s="2"/>
      <c r="D24" s="2" t="s">
        <v>70</v>
      </c>
      <c r="E24" s="1" t="s">
        <v>65</v>
      </c>
      <c r="F24" s="2" t="s">
        <v>71</v>
      </c>
    </row>
    <row r="25" spans="2:6" ht="14.25" x14ac:dyDescent="0.2">
      <c r="B25" s="4">
        <v>16</v>
      </c>
      <c r="C25" s="2"/>
      <c r="D25" s="2" t="s">
        <v>72</v>
      </c>
      <c r="E25" s="1" t="s">
        <v>62</v>
      </c>
      <c r="F25" s="2" t="s">
        <v>73</v>
      </c>
    </row>
    <row r="26" spans="2:6" ht="14.25" x14ac:dyDescent="0.2">
      <c r="B26" s="4">
        <v>18</v>
      </c>
      <c r="C26" s="2"/>
      <c r="D26" s="2" t="s">
        <v>74</v>
      </c>
      <c r="E26" s="1" t="s">
        <v>62</v>
      </c>
      <c r="F26" s="2" t="s">
        <v>71</v>
      </c>
    </row>
    <row r="27" spans="2:6" ht="14.25" x14ac:dyDescent="0.2">
      <c r="B27" s="4">
        <v>20</v>
      </c>
      <c r="C27" s="2"/>
      <c r="D27" s="2" t="s">
        <v>75</v>
      </c>
      <c r="E27" s="1" t="s">
        <v>65</v>
      </c>
      <c r="F27" s="2" t="s">
        <v>76</v>
      </c>
    </row>
    <row r="28" spans="2:6" ht="14.25" x14ac:dyDescent="0.2">
      <c r="B28" s="4">
        <v>24</v>
      </c>
      <c r="C28" s="2"/>
      <c r="D28" s="2" t="s">
        <v>77</v>
      </c>
      <c r="E28" s="1" t="s">
        <v>65</v>
      </c>
      <c r="F28" s="2" t="s">
        <v>78</v>
      </c>
    </row>
    <row r="29" spans="2:6" ht="14.25" x14ac:dyDescent="0.2">
      <c r="B29" s="4">
        <v>28</v>
      </c>
      <c r="C29" s="2"/>
      <c r="D29" s="2" t="s">
        <v>79</v>
      </c>
      <c r="E29" s="1" t="s">
        <v>65</v>
      </c>
      <c r="F29" s="2" t="s">
        <v>80</v>
      </c>
    </row>
    <row r="30" spans="2:6" ht="14.25" x14ac:dyDescent="0.2">
      <c r="B30" s="4">
        <v>32</v>
      </c>
      <c r="C30" s="2"/>
      <c r="D30" s="2" t="s">
        <v>81</v>
      </c>
      <c r="E30" s="1" t="s">
        <v>65</v>
      </c>
      <c r="F30" s="2" t="s">
        <v>82</v>
      </c>
    </row>
    <row r="31" spans="2:6" ht="14.25" x14ac:dyDescent="0.2">
      <c r="B31" s="4">
        <v>36</v>
      </c>
      <c r="C31" s="2"/>
      <c r="D31" s="2" t="s">
        <v>83</v>
      </c>
      <c r="E31" s="1" t="s">
        <v>65</v>
      </c>
      <c r="F31" s="2" t="s">
        <v>84</v>
      </c>
    </row>
    <row r="32" spans="2:6" ht="14.25" x14ac:dyDescent="0.2">
      <c r="B32" s="4">
        <v>40</v>
      </c>
      <c r="C32" s="2"/>
      <c r="D32" s="2" t="s">
        <v>85</v>
      </c>
      <c r="E32" s="1" t="s">
        <v>65</v>
      </c>
      <c r="F32" s="2" t="s">
        <v>86</v>
      </c>
    </row>
    <row r="33" spans="2:6" ht="14.25" x14ac:dyDescent="0.2">
      <c r="B33" s="4">
        <v>44</v>
      </c>
      <c r="C33" s="2"/>
      <c r="D33" s="2"/>
      <c r="E33" s="1"/>
      <c r="F33" s="2"/>
    </row>
  </sheetData>
  <mergeCells count="2">
    <mergeCell ref="B2:F2"/>
    <mergeCell ref="I2:J2"/>
  </mergeCells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李前程</dc:creator>
  <cp:lastModifiedBy>JSLY7-PL41</cp:lastModifiedBy>
  <dcterms:created xsi:type="dcterms:W3CDTF">2023-05-12T11:15:00Z</dcterms:created>
  <dcterms:modified xsi:type="dcterms:W3CDTF">2025-10-17T01:12:05Z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B2ACDBDD3F374D5CBCCE7D0F966F3BB7_12</vt:lpwstr>
  </property>
  <property fmtid="{D5CDD505-2E9C-101B-9397-08002B2CF9AE}" pid="4" name="KSOReadingLayout">
    <vt:bool>false</vt:bool>
  </property>
</Properties>
</file>